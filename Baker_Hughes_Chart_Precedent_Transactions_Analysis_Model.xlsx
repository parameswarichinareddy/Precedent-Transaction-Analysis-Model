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comments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hart1.xml" ContentType="application/vnd.openxmlformats-officedocument.drawingml.chart+xml"/>
  <Override PartName="/xl/charts/colors1.xml" ContentType="application/vnd.ms-office.chartcolorstyle+xml"/>
  <Override PartName="/xl/charts/style3.xml" ContentType="application/vnd.ms-office.chartstyle+xml"/>
  <Override PartName="/xl/charts/chart4.xml" ContentType="application/vnd.openxmlformats-officedocument.drawingml.chart+xml"/>
  <Override PartName="/xl/charts/chart3.xml" ContentType="application/vnd.openxmlformats-officedocument.drawingml.chart+xml"/>
  <Override PartName="/xl/charts/colors2.xml" ContentType="application/vnd.ms-office.chartcolorstyle+xml"/>
  <Override PartName="/xl/charts/style1.xml" ContentType="application/vnd.ms-office.chartstyle+xml"/>
  <Override PartName="/xl/charts/style4.xml" ContentType="application/vnd.ms-office.chartstyle+xml"/>
  <Override PartName="/xl/charts/colors3.xml" ContentType="application/vnd.ms-office.chartcolor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Dashboard" sheetId="1" state="visible" r:id="rId3"/>
    <sheet name="Transaction Overview" sheetId="2" state="visible" r:id="rId4"/>
    <sheet name="Target Financials" sheetId="3" state="visible" r:id="rId5"/>
    <sheet name="Target Capitalization" sheetId="4" state="visible" r:id="rId6"/>
    <sheet name="Precedent Transactions" sheetId="5" state="visible" r:id="rId7"/>
    <sheet name="Transaction Multiples" sheetId="6" state="visible" r:id="rId8"/>
    <sheet name="Premium Analysis" sheetId="7" state="visible" r:id="rId9"/>
    <sheet name="PTA Valuation" sheetId="8" state="visible" r:id="rId10"/>
    <sheet name="Sensitivity Analysis" sheetId="9" state="visible" r:id="rId11"/>
    <sheet name="Football Field" sheetId="10" state="visible" r:id="rId12"/>
    <sheet name="Transaction Screening" sheetId="11" state="visible" r:id="rId13"/>
    <sheet name="Sources &amp; Checks" sheetId="12" state="visible" r:id="rId14"/>
  </sheets>
  <calcPr iterateCount="100" refMode="A1" iterate="false" iterateDelta="0.001"/>
  <extLst>
    <ext xmlns:loext="http://schemas.libreoffice.org/" uri="{7626C862-2A13-11E5-B345-FEFF819CDC9F}">
      <loext:extCalcPr stringRefSyntax="CalcA1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 methodology: Chart merger proxy (S03): $171.65 closing price on 28 July 2025.</t>
        </r>
      </text>
      <mc:AlternateContent>
        <mc:Choice Requires="v2">
          <commentPr autoFill="true" autoScale="false" colHidden="false" locked="false" rowHidden="false" textHAlign="justify" textVAlign="top">
            <anchor moveWithCells="false" sizeWithCells="false">
              <xdr:from>
                <xdr:col>1</xdr:col>
                <xdr:colOff>15</xdr:colOff>
                <xdr:row>10</xdr:row>
                <xdr:rowOff>2</xdr:rowOff>
              </xdr:from>
              <xdr:to>
                <xdr:col>3</xdr:col>
                <xdr:colOff>15</xdr:colOff>
                <xdr:row>14</xdr:row>
                <xdr:rowOff>2</xdr:rowOff>
              </xdr:to>
            </anchor>
          </commentPr>
        </mc:Choice>
        <mc:Fallback/>
      </mc:AlternateContent>
    </comment>
    <comment ref="B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 methodology: Baker Hughes announcement (S01): reported enterprise value of $13.6bn.</t>
        </r>
      </text>
      <mc:AlternateContent>
        <mc:Choice Requires="v2">
          <commentPr autoFill="true" autoScale="false" colHidden="false" locked="false" rowHidden="false" textHAlign="justify" textVAlign="top">
            <anchor moveWithCells="false" sizeWithCells="false">
              <xdr:from>
                <xdr:col>1</xdr:col>
                <xdr:colOff>15</xdr:colOff>
                <xdr:row>13</xdr:row>
                <xdr:rowOff>2</xdr:rowOff>
              </xdr:from>
              <xdr:to>
                <xdr:col>3</xdr:col>
                <xdr:colOff>15</xdr:colOff>
                <xdr:row>17</xdr:row>
                <xdr:rowOff>2</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 methodology: Chart FY2024 results and FY2024 10-K (S05).</t>
        </r>
      </text>
      <mc:AlternateContent>
        <mc:Choice Requires="v2">
          <commentPr autoFill="true" autoScale="false" colHidden="false" locked="false" rowHidden="false" textHAlign="justify" textVAlign="top">
            <anchor moveWithCells="false" sizeWithCells="false">
              <xdr:from>
                <xdr:col>3</xdr:col>
                <xdr:colOff>15</xdr:colOff>
                <xdr:row>5</xdr:row>
                <xdr:rowOff>2</xdr:rowOff>
              </xdr:from>
              <xdr:to>
                <xdr:col>5</xdr:col>
                <xdr:colOff>15</xdr:colOff>
                <xdr:row>9</xdr:row>
                <xdr:rowOff>2</xdr:rowOff>
              </xdr:to>
            </anchor>
          </commentPr>
        </mc:Choice>
        <mc:Fallback/>
      </mc:AlternateContent>
    </comment>
    <comment ref="E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 methodology: Chart FY2025 10-K (S08); post-announcement actual.</t>
        </r>
      </text>
      <mc:AlternateContent>
        <mc:Choice Requires="v2">
          <commentPr autoFill="true" autoScale="false" colHidden="false" locked="false" rowHidden="false" textHAlign="justify" textVAlign="top">
            <anchor moveWithCells="false" sizeWithCells="false">
              <xdr:from>
                <xdr:col>4</xdr:col>
                <xdr:colOff>15</xdr:colOff>
                <xdr:row>5</xdr:row>
                <xdr:rowOff>2</xdr:rowOff>
              </xdr:from>
              <xdr:to>
                <xdr:col>6</xdr:col>
                <xdr:colOff>15</xdr:colOff>
                <xdr:row>9</xdr:row>
                <xdr:rowOff>2</xdr:rowOff>
              </xdr:to>
            </anchor>
          </commentPr>
        </mc:Choice>
        <mc:Fallback/>
      </mc:AlternateContent>
    </comment>
  </commentList>
</comments>
</file>

<file path=xl/sharedStrings.xml><?xml version="1.0" encoding="utf-8"?>
<sst xmlns="http://schemas.openxmlformats.org/spreadsheetml/2006/main" count="1210" uniqueCount="736">
  <si>
    <t xml:space="preserve">BAKER HUGHES / CHART INDUSTRIES — TRANSACTION DASHBOARD</t>
  </si>
  <si>
    <t xml:space="preserve">Precedent Transactions Analysis | $ in millions, except per-share data and multiples | Status as of 21 August 2026</t>
  </si>
  <si>
    <t xml:space="preserve">HEADLINE TRANSACTION TERMS AND VALUATION CONCLUSION</t>
  </si>
  <si>
    <t xml:space="preserve">Transaction Metric</t>
  </si>
  <si>
    <t xml:space="preserve">Value</t>
  </si>
  <si>
    <t xml:space="preserve">PTA / Comparable Metric</t>
  </si>
  <si>
    <t xml:space="preserve">VALUATION CONCLUSION</t>
  </si>
  <si>
    <t xml:space="preserve">Buyer</t>
  </si>
  <si>
    <t xml:space="preserve">Transaction Status</t>
  </si>
  <si>
    <t xml:space="preserve">Target</t>
  </si>
  <si>
    <t xml:space="preserve">EV / Revenue</t>
  </si>
  <si>
    <t xml:space="preserve">Announcement Date</t>
  </si>
  <si>
    <t xml:space="preserve">EV / Adjusted EBITDA</t>
  </si>
  <si>
    <t xml:space="preserve">Completion Date</t>
  </si>
  <si>
    <t xml:space="preserve">Core Precedent Transactions</t>
  </si>
  <si>
    <t xml:space="preserve">Offer Price / Share</t>
  </si>
  <si>
    <t xml:space="preserve">Median EV / Revenue</t>
  </si>
  <si>
    <t xml:space="preserve">Reference Price</t>
  </si>
  <si>
    <t xml:space="preserve">$/Share</t>
  </si>
  <si>
    <t xml:space="preserve">Unaffected Share Price</t>
  </si>
  <si>
    <t xml:space="preserve">Median EV / EBITDA</t>
  </si>
  <si>
    <t xml:space="preserve">Unaffected Price</t>
  </si>
  <si>
    <t xml:space="preserve">Transaction Premium</t>
  </si>
  <si>
    <t xml:space="preserve">Median Precedent Premium</t>
  </si>
  <si>
    <t xml:space="preserve">PTA Value</t>
  </si>
  <si>
    <t xml:space="preserve">Enterprise Value</t>
  </si>
  <si>
    <t xml:space="preserve">PTA Implied Share Price</t>
  </si>
  <si>
    <t xml:space="preserve">Offer Price</t>
  </si>
  <si>
    <t xml:space="preserve">Implied Equity Value — FY2024 Net Debt Basis</t>
  </si>
  <si>
    <t xml:space="preserve">Offer Price vs. PTA Value</t>
  </si>
  <si>
    <t xml:space="preserve">Unaffected Price vs. PTA Value</t>
  </si>
  <si>
    <t xml:space="preserve">VALUATION SNAPSHOT — PRECEDENT TRANSACTIONS ANALYSIS</t>
  </si>
  <si>
    <t xml:space="preserve">Method</t>
  </si>
  <si>
    <t xml:space="preserve">Low (25th)</t>
  </si>
  <si>
    <t xml:space="preserve">Median</t>
  </si>
  <si>
    <t xml:space="preserve">High (75th)</t>
  </si>
  <si>
    <t xml:space="preserve">EV / Revenue Implied Share Price</t>
  </si>
  <si>
    <t xml:space="preserve">EV / EBITDA Implied Share Price</t>
  </si>
  <si>
    <t xml:space="preserve">Blended Implied Share Price</t>
  </si>
  <si>
    <t xml:space="preserve">SELECTED BASE CASE AND REFERENCE PRICES</t>
  </si>
  <si>
    <t xml:space="preserve">Reference</t>
  </si>
  <si>
    <t xml:space="preserve">Note</t>
  </si>
  <si>
    <t xml:space="preserve">Selected PTA Base Case (Blended Median)</t>
  </si>
  <si>
    <t xml:space="preserve">Analyst selection</t>
  </si>
  <si>
    <t xml:space="preserve">Premium / (Discount) to Unaffected</t>
  </si>
  <si>
    <t xml:space="preserve">vs $171.65 unaffected price</t>
  </si>
  <si>
    <t xml:space="preserve">Premium / (Discount) to Offer</t>
  </si>
  <si>
    <t xml:space="preserve">vs $210.00 offer price</t>
  </si>
  <si>
    <t xml:space="preserve">PRECEDENT SET AND MODEL INTEGRITY</t>
  </si>
  <si>
    <t xml:space="preserve">Metric</t>
  </si>
  <si>
    <t xml:space="preserve">Median Premium (Verified Observations)</t>
  </si>
  <si>
    <t xml:space="preserve">Overall Data Quality Status</t>
  </si>
  <si>
    <t xml:space="preserve">The disclosed ~9.0x 2025E forward, synergy-adjusted transaction multiple is excluded from the historical PTA because it is forward-looking and includes buyer synergies. The valuation denominator is 49.026mm signing-date fully diluted share equivalents from the proxy filing-fee capitalization.</t>
  </si>
  <si>
    <t xml:space="preserve">BAKER HUGHES / CHART INDUSTRIES — TRANSACTION OVERVIEW</t>
  </si>
  <si>
    <t xml:space="preserve">FOCAL TRANSACTION — REPORTED AND CALCULATED TERMS</t>
  </si>
  <si>
    <t xml:space="preserve">Transaction Detail</t>
  </si>
  <si>
    <t xml:space="preserve">Data Classification</t>
  </si>
  <si>
    <t xml:space="preserve">Source ID</t>
  </si>
  <si>
    <t xml:space="preserve">MODEL COLOR CONVENTION</t>
  </si>
  <si>
    <t xml:space="preserve">Baker Hughes Company</t>
  </si>
  <si>
    <t xml:space="preserve">Reported</t>
  </si>
  <si>
    <t xml:space="preserve">S01</t>
  </si>
  <si>
    <t xml:space="preserve">Blue font</t>
  </si>
  <si>
    <t xml:space="preserve">Editable assumption / scenario driver</t>
  </si>
  <si>
    <t xml:space="preserve">Chart Industries, Inc.</t>
  </si>
  <si>
    <t xml:space="preserve">Green font</t>
  </si>
  <si>
    <t xml:space="preserve">Link to another worksheet</t>
  </si>
  <si>
    <t xml:space="preserve">Black font</t>
  </si>
  <si>
    <t xml:space="preserve">Formula, calculation or reported historical value</t>
  </si>
  <si>
    <t xml:space="preserve">S04</t>
  </si>
  <si>
    <t xml:space="preserve">Red font</t>
  </si>
  <si>
    <t xml:space="preserve">External workbook link or model error</t>
  </si>
  <si>
    <t xml:space="preserve">Offer Price / Share ($)</t>
  </si>
  <si>
    <t xml:space="preserve">Unaffected Share Price ($)</t>
  </si>
  <si>
    <t xml:space="preserve">Reported — 28 Jul 2025 close</t>
  </si>
  <si>
    <t xml:space="preserve">S03</t>
  </si>
  <si>
    <t xml:space="preserve">Calculated</t>
  </si>
  <si>
    <t xml:space="preserve">Implied Equity Value ($mm)</t>
  </si>
  <si>
    <t xml:space="preserve">Calculated: EV less FY2024A net debt</t>
  </si>
  <si>
    <t xml:space="preserve">S01 / S05</t>
  </si>
  <si>
    <t xml:space="preserve">Calculated as transaction EV less FY2024A net debt.</t>
  </si>
  <si>
    <t xml:space="preserve">Enterprise Value ($mm)</t>
  </si>
  <si>
    <t xml:space="preserve">Target Debt ($mm)</t>
  </si>
  <si>
    <t xml:space="preserve">Reported — FY2024A</t>
  </si>
  <si>
    <t xml:space="preserve">S05</t>
  </si>
  <si>
    <t xml:space="preserve">Target Cash ($mm)</t>
  </si>
  <si>
    <t xml:space="preserve">Target Net Debt ($mm)</t>
  </si>
  <si>
    <t xml:space="preserve">Consideration Type</t>
  </si>
  <si>
    <t xml:space="preserve">All cash</t>
  </si>
  <si>
    <t xml:space="preserve">Financing Structure</t>
  </si>
  <si>
    <t xml:space="preserve">Committed bridge; permanent funding from cash on hand and debt issuance</t>
  </si>
  <si>
    <t xml:space="preserve">S02 / S04</t>
  </si>
  <si>
    <t xml:space="preserve">Expected Cost Synergies ($mm)</t>
  </si>
  <si>
    <t xml:space="preserve">Reported — run-rate by Year 3</t>
  </si>
  <si>
    <t xml:space="preserve">Expected Closing Net Leverage</t>
  </si>
  <si>
    <t xml:space="preserve">Leverage Target (within 24 months)</t>
  </si>
  <si>
    <t xml:space="preserve">1.0x–1.5x</t>
  </si>
  <si>
    <t xml:space="preserve">Disclosed Transaction Multiple</t>
  </si>
  <si>
    <t xml:space="preserve">~9.0x 2025E consensus EBITDA, including run-rate cost synergies</t>
  </si>
  <si>
    <t xml:space="preserve">Reported / forward</t>
  </si>
  <si>
    <t xml:space="preserve">S02</t>
  </si>
  <si>
    <t xml:space="preserve">FY2024A EV / Revenue</t>
  </si>
  <si>
    <t xml:space="preserve">Calculated — historical actual</t>
  </si>
  <si>
    <t xml:space="preserve">FY2024A EV / Adjusted EBITDA</t>
  </si>
  <si>
    <t xml:space="preserve">Accretion</t>
  </si>
  <si>
    <t xml:space="preserve">Double-digit adjusted EPS accretion in first full calendar year after close</t>
  </si>
  <si>
    <t xml:space="preserve">Reported; adjusted EPS basis</t>
  </si>
  <si>
    <t xml:space="preserve">Completed</t>
  </si>
  <si>
    <t xml:space="preserve">STRATEGIC RATIONALE AND TRANSACTION INTERPRETATION</t>
  </si>
  <si>
    <t xml:space="preserve">Theme</t>
  </si>
  <si>
    <t xml:space="preserve">Reported Rationale / Interpretation</t>
  </si>
  <si>
    <t xml:space="preserve">Classification</t>
  </si>
  <si>
    <t xml:space="preserve">Portfolio</t>
  </si>
  <si>
    <t xml:space="preserve">Adds cryogenic and process technologies and expands high-value industrial exposure.</t>
  </si>
  <si>
    <t xml:space="preserve">Reported / summarized</t>
  </si>
  <si>
    <t xml:space="preserve">End Markets</t>
  </si>
  <si>
    <t xml:space="preserve">Deepens exposure to LNG, data centers, hydrogen, carbon capture and other energy-transition infrastructure.</t>
  </si>
  <si>
    <t xml:space="preserve">Aftermarket</t>
  </si>
  <si>
    <t xml:space="preserve">Expands installed base and recurring aftermarket service opportunity.</t>
  </si>
  <si>
    <t xml:space="preserve">PTA Interpretation</t>
  </si>
  <si>
    <t xml:space="preserve">The disclosed ~9.0x multiple is forward and synergy-adjusted; it is shown separately from the historical precedent statistics.</t>
  </si>
  <si>
    <t xml:space="preserve">Analyst interpretation</t>
  </si>
  <si>
    <t xml:space="preserve">Important: the focal transaction is not included in the precedent statistics. The core precedent set uses verified historical financial periods. Forward or incomplete reference transactions are shown separately and excluded from the affected statistics.</t>
  </si>
  <si>
    <t xml:space="preserve">TRANSACTION TIMELINE</t>
  </si>
  <si>
    <t xml:space="preserve">ANNOUNCEMENT</t>
  </si>
  <si>
    <t xml:space="preserve">REGULATORY / SHAREHOLDER PROCESS</t>
  </si>
  <si>
    <t xml:space="preserve">COMPLETION</t>
  </si>
  <si>
    <t xml:space="preserve">Post-announcement through closing</t>
  </si>
  <si>
    <t xml:space="preserve">Baker Hughes announced the all-cash acquisition of Chart Industries at $210 per share. Source: S01.</t>
  </si>
  <si>
    <t xml:space="preserve">Regulatory, merger-proxy and shareholder processes proceeded between announcement and completion. Source: S03.</t>
  </si>
  <si>
    <t xml:space="preserve">Baker Hughes completed the acquisition and funded closing with cash on hand and debt financing. Source: S04.</t>
  </si>
  <si>
    <t xml:space="preserve">CHART INDUSTRIES — TARGET FINANCIALS</t>
  </si>
  <si>
    <t xml:space="preserve">Historical financial spreading | $ in millions, shares in millions | FY2024A selected for PTA valuation</t>
  </si>
  <si>
    <t xml:space="preserve">HISTORICAL FINANCIALS AND CAPITALIZATION</t>
  </si>
  <si>
    <t xml:space="preserve">Financial Metric</t>
  </si>
  <si>
    <t xml:space="preserve">FY2022A</t>
  </si>
  <si>
    <t xml:space="preserve">FY2023A</t>
  </si>
  <si>
    <t xml:space="preserve">FY2024A</t>
  </si>
  <si>
    <t xml:space="preserve">FY2025A</t>
  </si>
  <si>
    <t xml:space="preserve">Definition / Data Status</t>
  </si>
  <si>
    <t xml:space="preserve">Revenue</t>
  </si>
  <si>
    <t xml:space="preserve">Reported actual</t>
  </si>
  <si>
    <t xml:space="preserve">EBIT / Operating Income</t>
  </si>
  <si>
    <t xml:space="preserve">D&amp;A</t>
  </si>
  <si>
    <t xml:space="preserve">Standardized EBITDA</t>
  </si>
  <si>
    <t xml:space="preserve">Calculated: EBIT + D&amp;A</t>
  </si>
  <si>
    <t xml:space="preserve">Company-Reported EBITDA</t>
  </si>
  <si>
    <t xml:space="preserve">Reported; FY2023 presented on company pro forma basis</t>
  </si>
  <si>
    <t xml:space="preserve">Adjusted EBITDA</t>
  </si>
  <si>
    <t xml:space="preserve">Reported non-GAAP; FY2023 pro forma includes Howden pre-close stub</t>
  </si>
  <si>
    <t xml:space="preserve">Net Income</t>
  </si>
  <si>
    <t xml:space="preserve">Reported consolidated net income</t>
  </si>
  <si>
    <t xml:space="preserve">Cash</t>
  </si>
  <si>
    <t xml:space="preserve">Reported year-end</t>
  </si>
  <si>
    <t xml:space="preserve">Total Debt</t>
  </si>
  <si>
    <t xml:space="preserve">Net Debt</t>
  </si>
  <si>
    <t xml:space="preserve">Calculated: Total Debt less Cash</t>
  </si>
  <si>
    <t xml:space="preserve">Year-End Common Shares</t>
  </si>
  <si>
    <t xml:space="preserve">Reported / calculated from issued less treasury where applicable</t>
  </si>
  <si>
    <t xml:space="preserve">Diluted Weighted Average Shares</t>
  </si>
  <si>
    <t xml:space="preserve">Reported; FY2022 rounded to one decimal</t>
  </si>
  <si>
    <t xml:space="preserve">Capital Expenditures</t>
  </si>
  <si>
    <t xml:space="preserve">Reported cash capex</t>
  </si>
  <si>
    <t xml:space="preserve">Operating Cash Flow</t>
  </si>
  <si>
    <t xml:space="preserve">Reported cash from continuing operations</t>
  </si>
  <si>
    <t xml:space="preserve">PTA VALUATION INPUT SELECTION</t>
  </si>
  <si>
    <t xml:space="preserve">Selected Input</t>
  </si>
  <si>
    <t xml:space="preserve">Basis</t>
  </si>
  <si>
    <t xml:space="preserve">Rationale</t>
  </si>
  <si>
    <t xml:space="preserve">FY2024A reported actual</t>
  </si>
  <si>
    <t xml:space="preserve">Last complete fiscal year immediately before announcement</t>
  </si>
  <si>
    <t xml:space="preserve">FY2024A company-reported adjusted</t>
  </si>
  <si>
    <t xml:space="preserve">Consistent with Chart transaction communication and operating presentation</t>
  </si>
  <si>
    <t xml:space="preserve">FY2024A calculated</t>
  </si>
  <si>
    <t xml:space="preserve">FY2024A debt less cash</t>
  </si>
  <si>
    <t xml:space="preserve">Diluted Shares</t>
  </si>
  <si>
    <t xml:space="preserve">Signing-date fully diluted share equivalents</t>
  </si>
  <si>
    <t xml:space="preserve">Proxy filing-fee capitalization; FY2024A diluted WA remains in D17</t>
  </si>
  <si>
    <t xml:space="preserve">28-Jul-2025 close</t>
  </si>
  <si>
    <t xml:space="preserve">Last trading day before announcement</t>
  </si>
  <si>
    <t xml:space="preserve">Cash consideration per share</t>
  </si>
  <si>
    <t xml:space="preserve">Period discipline: FY2024A is the selected historical base because it is the final completed fiscal year before the July 2025 transaction announcement. FY2025A is retained as post-announcement actual history and is not mixed into the historical PTA multiple application.</t>
  </si>
  <si>
    <t xml:space="preserve">HISTORICAL KPI AND CASH FLOW ANALYSIS</t>
  </si>
  <si>
    <t xml:space="preserve">Calculated Metric</t>
  </si>
  <si>
    <t xml:space="preserve">Definition</t>
  </si>
  <si>
    <t xml:space="preserve">Revenue Growth</t>
  </si>
  <si>
    <t xml:space="preserve">Not applicable</t>
  </si>
  <si>
    <t xml:space="preserve">Calculated year-over-year</t>
  </si>
  <si>
    <t xml:space="preserve">EBIT Margin</t>
  </si>
  <si>
    <t xml:space="preserve">EBIT / Revenue</t>
  </si>
  <si>
    <t xml:space="preserve">Standardized EBITDA Margin</t>
  </si>
  <si>
    <t xml:space="preserve">Standardized EBITDA / Revenue</t>
  </si>
  <si>
    <t xml:space="preserve">Adjusted EBITDA Margin</t>
  </si>
  <si>
    <t xml:space="preserve">Adjusted EBITDA / Revenue</t>
  </si>
  <si>
    <t xml:space="preserve">Net Margin</t>
  </si>
  <si>
    <t xml:space="preserve">Net Income / Revenue</t>
  </si>
  <si>
    <t xml:space="preserve">Net Debt / Adjusted EBITDA</t>
  </si>
  <si>
    <t xml:space="preserve">Free Cash Flow</t>
  </si>
  <si>
    <t xml:space="preserve">Operating Cash Flow less Capex</t>
  </si>
  <si>
    <t xml:space="preserve">FCF Conversion</t>
  </si>
  <si>
    <t xml:space="preserve">Free Cash Flow / Adjusted EBITDA</t>
  </si>
  <si>
    <t xml:space="preserve">FY2024A is the primary PTA valuation period because it was the latest completed full fiscal year before the July 2025 announcement. FY2025A remains visible as post-announcement actual history and is not mixed into the historical multiple application. FCF conversion is defined as FCF divided by Adjusted EBITDA.</t>
  </si>
  <si>
    <t xml:space="preserve">CHART INDUSTRIES — CAPITALIZATION</t>
  </si>
  <si>
    <t xml:space="preserve">Fully diluted share count and enterprise-to-equity bridge | $ in millions, except per-share data</t>
  </si>
  <si>
    <t xml:space="preserve">SHARE CAPITALIZATION — REFERENCE AND VALUATION</t>
  </si>
  <si>
    <t xml:space="preserve">Item</t>
  </si>
  <si>
    <t xml:space="preserve">Shares (mm)</t>
  </si>
  <si>
    <t xml:space="preserve">Year-End Common Shares Outstanding — FY2024A</t>
  </si>
  <si>
    <t xml:space="preserve">Reported year-end; secondary reference</t>
  </si>
  <si>
    <t xml:space="preserve">Diluted Weighted Average Shares — FY2024A</t>
  </si>
  <si>
    <t xml:space="preserve">Reported FY2024A diluted WA; secondary reference</t>
  </si>
  <si>
    <t xml:space="preserve">Issued Common Shares — Proxy Filing Date</t>
  </si>
  <si>
    <t xml:space="preserve">44.951mm issued common shares as of 26-Aug-2025</t>
  </si>
  <si>
    <t xml:space="preserve">Selected Fully Diluted Shares for Valuation</t>
  </si>
  <si>
    <t xml:space="preserve">Signing-date fully diluted share equivalents; S09</t>
  </si>
  <si>
    <t xml:space="preserve">ENTERPRISE VALUE TO EQUITY VALUE BRIDGE — AT OFFER</t>
  </si>
  <si>
    <t xml:space="preserve">Reported Transaction Enterprise Value</t>
  </si>
  <si>
    <t xml:space="preserve">Reported deal EV</t>
  </si>
  <si>
    <t xml:space="preserve">Less: Total Debt (FY2024A)</t>
  </si>
  <si>
    <t xml:space="preserve">Plus: Cash &amp; Equivalents (FY2024A)</t>
  </si>
  <si>
    <t xml:space="preserve">Calculated: reported EV less FY2024A net debt</t>
  </si>
  <si>
    <t xml:space="preserve">Implied Value per Share — FY2024 Net Debt Basis</t>
  </si>
  <si>
    <t xml:space="preserve">Equity value / diluted shares</t>
  </si>
  <si>
    <t xml:space="preserve">Difference vs. Contractual $210 Offer Price</t>
  </si>
  <si>
    <t xml:space="preserve">Approximate EV / FY2024 net debt bridge versus proxy filing-fee consideration</t>
  </si>
  <si>
    <t xml:space="preserve">MARKET CAPITALIZATION AT KEY REFERENCE PRICES</t>
  </si>
  <si>
    <t xml:space="preserve">Price / Share</t>
  </si>
  <si>
    <t xml:space="preserve">Implied Equity Value</t>
  </si>
  <si>
    <t xml:space="preserve">Plus Net Debt</t>
  </si>
  <si>
    <t xml:space="preserve">Implied EV</t>
  </si>
  <si>
    <t xml:space="preserve">Unaffected (28-Jul-2025)</t>
  </si>
  <si>
    <t xml:space="preserve">Selected PTA Base Case</t>
  </si>
  <si>
    <t xml:space="preserve">FY2024A diluted weighted-average shares are retained as a secondary historical reference. The valuation denominator is the proxy filing-fee fully diluted share-equivalent count, which includes common shares, preferred conversion shares and the economic value of equity awards.</t>
  </si>
  <si>
    <t xml:space="preserve">SIGNING-DATE FULLY DILUTED SHARE COUNT — PROXY FILING FEE</t>
  </si>
  <si>
    <t xml:space="preserve">Interpretation</t>
  </si>
  <si>
    <t xml:space="preserve">Issued Common Shares</t>
  </si>
  <si>
    <t xml:space="preserve">Issued and outstanding as of 26-Aug-2025</t>
  </si>
  <si>
    <t xml:space="preserve">Preferred Conversion Share Equivalents</t>
  </si>
  <si>
    <t xml:space="preserve">Shares reserved for Series B preferred conversion</t>
  </si>
  <si>
    <t xml:space="preserve">Equity Award / Option Economic Equivalents</t>
  </si>
  <si>
    <t xml:space="preserve">RSUs, PSUs, anticipated grants and net option consideration equivalents</t>
  </si>
  <si>
    <t xml:space="preserve">Proxy Maximum Transaction Valuation ($mm)</t>
  </si>
  <si>
    <t xml:space="preserve">SEC filing-fee transaction value; S09</t>
  </si>
  <si>
    <t xml:space="preserve">Signing-Date Fully Diluted Share Equivalents</t>
  </si>
  <si>
    <t xml:space="preserve">Selected valuation denominator; component sum and transaction-value cross-check</t>
  </si>
  <si>
    <t xml:space="preserve">Proxy filing-fee values are used to establish a share-count-consistent denominator. The disclosed $13.6bn enterprise value is rounded and FY2024A net debt is a historical analytical bridge, so it is not expected to reproduce the proxy transaction valuation exactly.</t>
  </si>
  <si>
    <t xml:space="preserve">PRECEDENT TRANSACTIONS — SCREENED COMPARABLE SET</t>
  </si>
  <si>
    <t xml:space="preserve">Core set requires verified EV, revenue and EBITDA for a consistent historical calculation; $ in millions</t>
  </si>
  <si>
    <t xml:space="preserve">CORE PRECEDENT SET — INCLUDED IN EV / REVENUE AND EV / EBITDA STATISTICS</t>
  </si>
  <si>
    <t xml:space="preserve">#</t>
  </si>
  <si>
    <t xml:space="preserve">Announcement</t>
  </si>
  <si>
    <t xml:space="preserve">Completion / Status</t>
  </si>
  <si>
    <t xml:space="preserve">Transaction Type</t>
  </si>
  <si>
    <t xml:space="preserve">Equity Value</t>
  </si>
  <si>
    <t xml:space="preserve">Financial Period</t>
  </si>
  <si>
    <t xml:space="preserve">EBITDA</t>
  </si>
  <si>
    <t xml:space="preserve">EBITDA Basis</t>
  </si>
  <si>
    <t xml:space="preserve">EV / EBITDA</t>
  </si>
  <si>
    <t xml:space="preserve">Premium</t>
  </si>
  <si>
    <t xml:space="preserve">Consideration</t>
  </si>
  <si>
    <t xml:space="preserve">Strategic Rationale</t>
  </si>
  <si>
    <t xml:space="preserve">Statistical Inclusion</t>
  </si>
  <si>
    <t xml:space="preserve">Duplicate Count</t>
  </si>
  <si>
    <t xml:space="preserve">EV / Revenue Check</t>
  </si>
  <si>
    <t xml:space="preserve">EV / EBITDA Check</t>
  </si>
  <si>
    <t xml:space="preserve">Units Check</t>
  </si>
  <si>
    <t xml:space="preserve">Industry</t>
  </si>
  <si>
    <t xml:space="preserve">Flowserve</t>
  </si>
  <si>
    <t xml:space="preserve">Velan</t>
  </si>
  <si>
    <t xml:space="preserve">Terminated — 05-Oct-2023</t>
  </si>
  <si>
    <t xml:space="preserve">Public strategic</t>
  </si>
  <si>
    <t xml:space="preserve">LTM Nov-2022</t>
  </si>
  <si>
    <t xml:space="preserve">Reported EBITDA</t>
  </si>
  <si>
    <t xml:space="preserve">Valves, cryogenic, nuclear and defense exposure; aftermarket expansion.</t>
  </si>
  <si>
    <t xml:space="preserve">S10 / S11</t>
  </si>
  <si>
    <t xml:space="preserve">Core — both</t>
  </si>
  <si>
    <t xml:space="preserve">PASS</t>
  </si>
  <si>
    <t xml:space="preserve">Flow control / industrial valves</t>
  </si>
  <si>
    <t xml:space="preserve">SLB</t>
  </si>
  <si>
    <t xml:space="preserve">ChampionX</t>
  </si>
  <si>
    <t xml:space="preserve">Completed — 16-Jul-2025</t>
  </si>
  <si>
    <t xml:space="preserve">Not disclosed</t>
  </si>
  <si>
    <t xml:space="preserve">All stock</t>
  </si>
  <si>
    <t xml:space="preserve">Production chemicals, artificial lift and digital production optimization.</t>
  </si>
  <si>
    <t xml:space="preserve">S12 / S13 / S14</t>
  </si>
  <si>
    <t xml:space="preserve">Oilfield services / production technology</t>
  </si>
  <si>
    <t xml:space="preserve">Emerson</t>
  </si>
  <si>
    <t xml:space="preserve">National Instruments</t>
  </si>
  <si>
    <t xml:space="preserve">Completed — 11-Oct-2023</t>
  </si>
  <si>
    <t xml:space="preserve">Standardized EBITDA: EBIT + D&amp;A</t>
  </si>
  <si>
    <t xml:space="preserve">Test-and-measurement automation, software and discrete industrial exposure.</t>
  </si>
  <si>
    <t xml:space="preserve">S15 / S16 / S17</t>
  </si>
  <si>
    <t xml:space="preserve">Industrial automation / test &amp; measurement</t>
  </si>
  <si>
    <t xml:space="preserve">Regal Rexnord</t>
  </si>
  <si>
    <t xml:space="preserve">Altra Industrial Motion</t>
  </si>
  <si>
    <t xml:space="preserve">Completed — 27-Mar-2023</t>
  </si>
  <si>
    <t xml:space="preserve">LTM Sep-2022</t>
  </si>
  <si>
    <t xml:space="preserve">Adjusted EBITDA implied by disclosed 13.6x</t>
  </si>
  <si>
    <t xml:space="preserve">Motion control, automation and industrial powertrain scale.</t>
  </si>
  <si>
    <t xml:space="preserve">S18 / S19 / S20</t>
  </si>
  <si>
    <t xml:space="preserve">Industrial motion control / engineered products</t>
  </si>
  <si>
    <t xml:space="preserve">Chart Industries</t>
  </si>
  <si>
    <t xml:space="preserve">Howden</t>
  </si>
  <si>
    <t xml:space="preserve">Completed — 17-Mar-2023</t>
  </si>
  <si>
    <t xml:space="preserve">Private strategic</t>
  </si>
  <si>
    <t xml:space="preserve">LTM Aug/Sep-2022</t>
  </si>
  <si>
    <t xml:space="preserve">Pro forma adjusted EBITDA</t>
  </si>
  <si>
    <t xml:space="preserve">Cash / financed</t>
  </si>
  <si>
    <t xml:space="preserve">Compressors, blowers and aftermarket across LNG, hydrogen and CCUS.</t>
  </si>
  <si>
    <t xml:space="preserve">S21 / S22 / S23</t>
  </si>
  <si>
    <t xml:space="preserve">Industrial compression / process technology</t>
  </si>
  <si>
    <t xml:space="preserve">Siemens</t>
  </si>
  <si>
    <t xml:space="preserve">Dresser-Rand</t>
  </si>
  <si>
    <t xml:space="preserve">Completed — 30-Jun-2015</t>
  </si>
  <si>
    <t xml:space="preserve">FY2013A</t>
  </si>
  <si>
    <t xml:space="preserve">Compressors and turbines; energy infrastructure and installed-base services.</t>
  </si>
  <si>
    <t xml:space="preserve">S24 / S25 / S26</t>
  </si>
  <si>
    <t xml:space="preserve">Energy infrastructure / rotating equipment</t>
  </si>
  <si>
    <t xml:space="preserve">KKR</t>
  </si>
  <si>
    <t xml:space="preserve">Gardner Denver</t>
  </si>
  <si>
    <t xml:space="preserve">Completed — 30-Jul-2013</t>
  </si>
  <si>
    <t xml:space="preserve">Sponsor take-private</t>
  </si>
  <si>
    <t xml:space="preserve">FY2012A</t>
  </si>
  <si>
    <t xml:space="preserve">EBITDA implied by disclosed 8.3x</t>
  </si>
  <si>
    <t xml:space="preserve">Operational improvement in industrial equipment and aftermarket.</t>
  </si>
  <si>
    <t xml:space="preserve">S27 / S28 / S29</t>
  </si>
  <si>
    <t xml:space="preserve">Industrial compressors / engineered equipment</t>
  </si>
  <si>
    <t xml:space="preserve">Caterpillar</t>
  </si>
  <si>
    <t xml:space="preserve">Bucyrus</t>
  </si>
  <si>
    <t xml:space="preserve">Completed — 08-Jul-2011</t>
  </si>
  <si>
    <t xml:space="preserve">FY2010A</t>
  </si>
  <si>
    <t xml:space="preserve">Mining-equipment scale, complementary products and aftermarket.</t>
  </si>
  <si>
    <t xml:space="preserve">S30 / S31</t>
  </si>
  <si>
    <t xml:space="preserve">Mining equipment / engineered products</t>
  </si>
  <si>
    <t xml:space="preserve">SUPPLEMENTAL REFERENCE TRANSACTIONS — EXCLUDED WHERE DATA / PERIOD IS INCOMPLETE</t>
  </si>
  <si>
    <t xml:space="preserve">Honeywell</t>
  </si>
  <si>
    <t xml:space="preserve">Sundyne</t>
  </si>
  <si>
    <t xml:space="preserve">Completed — 06-Jun-2025</t>
  </si>
  <si>
    <t xml:space="preserve">EBITDA implied by disclosed 14.5x</t>
  </si>
  <si>
    <t xml:space="preserve">Critical pumps and compressors for refining, petrochemicals and LNG.</t>
  </si>
  <si>
    <t xml:space="preserve">S32</t>
  </si>
  <si>
    <t xml:space="preserve">Supplemental — EV/EBITDA only; revenue not disclosed</t>
  </si>
  <si>
    <t xml:space="preserve">Not applicable — supplemental</t>
  </si>
  <si>
    <t xml:space="preserve">Critical pumps / compressors</t>
  </si>
  <si>
    <t xml:space="preserve">GE</t>
  </si>
  <si>
    <t xml:space="preserve">Lufkin Industries</t>
  </si>
  <si>
    <t xml:space="preserve">Completed — 01-Jul-2013</t>
  </si>
  <si>
    <t xml:space="preserve">FY2012A revenue / 2013E EBITDA</t>
  </si>
  <si>
    <t xml:space="preserve">Forward EBITDA implied by disclosed 13.5x</t>
  </si>
  <si>
    <t xml:space="preserve">Artificial lift and oilfield production equipment.</t>
  </si>
  <si>
    <t xml:space="preserve">S33</t>
  </si>
  <si>
    <t xml:space="preserve">Supplemental — forward / mismatched period</t>
  </si>
  <si>
    <t xml:space="preserve">Oilfield equipment / artificial lift</t>
  </si>
  <si>
    <t xml:space="preserve">COMPARABILITY SCREENING</t>
  </si>
  <si>
    <t xml:space="preserve">Transaction</t>
  </si>
  <si>
    <t xml:space="preserve">Industry Similarity (1-5)</t>
  </si>
  <si>
    <t xml:space="preserve">Business Model (1-5)</t>
  </si>
  <si>
    <t xml:space="preserve">Size (1-5)</t>
  </si>
  <si>
    <t xml:space="preserve">Strategic Rationale (1-5)</t>
  </si>
  <si>
    <t xml:space="preserve">Recency (1-5)</t>
  </si>
  <si>
    <t xml:space="preserve">Data Availability (1-5)</t>
  </si>
  <si>
    <t xml:space="preserve">Total / 30</t>
  </si>
  <si>
    <t xml:space="preserve">Screening Comment</t>
  </si>
  <si>
    <t xml:space="preserve">Flowserve / Velan</t>
  </si>
  <si>
    <t xml:space="preserve">Very strong product similarity; smaller and terminated.</t>
  </si>
  <si>
    <t xml:space="preserve">SLB / ChampionX</t>
  </si>
  <si>
    <t xml:space="preserve">Large, recent energy-services transaction.</t>
  </si>
  <si>
    <t xml:space="preserve">Emerson / NI</t>
  </si>
  <si>
    <t xml:space="preserve">High-quality industrial technology reference; premium software mix.</t>
  </si>
  <si>
    <t xml:space="preserve">Regal Rexnord / Altra</t>
  </si>
  <si>
    <t xml:space="preserve">Strong engineered-products and motion-control relevance.</t>
  </si>
  <si>
    <t xml:space="preserve">Chart / Howden</t>
  </si>
  <si>
    <t xml:space="preserve">Direct strategic and business-model relevance.</t>
  </si>
  <si>
    <t xml:space="preserve">Siemens / Dresser-Rand</t>
  </si>
  <si>
    <t xml:space="preserve">Highly relevant rotating-equipment transaction; older.</t>
  </si>
  <si>
    <t xml:space="preserve">KKR / Gardner Denver</t>
  </si>
  <si>
    <t xml:space="preserve">Strong industrial-equipment relevance; sponsor and older.</t>
  </si>
  <si>
    <t xml:space="preserve">Caterpillar / Bucyrus</t>
  </si>
  <si>
    <t xml:space="preserve">Large engineered-equipment reference; older.</t>
  </si>
  <si>
    <t xml:space="preserve">Core inclusion requires verified enterprise value, revenue, EBITDA and a comparable financial period. EBITDA Basis is disclosed explicitly for every observation; “Not disclosed” is used where public documents do not support a value. Supplemental references remain excluded from affected statistics for missing or mismatched data—not to manage the resulting median.</t>
  </si>
  <si>
    <t xml:space="preserve">Core inclusion requires verified enterprise value, revenue, EBITDA and a comparable period. Emerson / National Instruments is retained but specifically flagged: its 30.6x EV / EBITDA uses standardized EBITDA (EBIT + D&amp;A) and is not directly comparable to operating-heavy observations. Altra and Gardner Denver EBITDA are derived from disclosed multiples; Sundyne is derived and supplemental.</t>
  </si>
  <si>
    <t xml:space="preserve">TRANSACTION MULTIPLES AND PTA STATISTICS</t>
  </si>
  <si>
    <t xml:space="preserve">Core statistical set only | Historical periods shown in source table | Invalid or incomplete observations excluded</t>
  </si>
  <si>
    <t xml:space="preserve">CORE MULTIPLE OBSERVATIONS</t>
  </si>
  <si>
    <t xml:space="preserve">Status</t>
  </si>
  <si>
    <t xml:space="preserve">Included — core</t>
  </si>
  <si>
    <t xml:space="preserve">VALID PREMIUM OBSERVATIONS — NUMERIC VALUES ONLY</t>
  </si>
  <si>
    <t xml:space="preserve">MULTIPLE DISTRIBUTION — CORE HISTORICAL SET</t>
  </si>
  <si>
    <t xml:space="preserve">Eligibility Note</t>
  </si>
  <si>
    <t xml:space="preserve">Minimum</t>
  </si>
  <si>
    <t xml:space="preserve">25th</t>
  </si>
  <si>
    <t xml:space="preserve">75th</t>
  </si>
  <si>
    <t xml:space="preserve">Maximum</t>
  </si>
  <si>
    <t xml:space="preserve">Verified unaffected price / disclosed premium</t>
  </si>
  <si>
    <t xml:space="preserve">SELECTED PTA MULTIPLES</t>
  </si>
  <si>
    <t xml:space="preserve">Selected Multiple</t>
  </si>
  <si>
    <t xml:space="preserve">Selection Basis</t>
  </si>
  <si>
    <t xml:space="preserve">Core historical median; percentile valuation range retained</t>
  </si>
  <si>
    <t xml:space="preserve">Core historical median; explicit EBITDA-basis disclosure retained</t>
  </si>
  <si>
    <t xml:space="preserve">STATISTICAL SUMMARY — VALID OBSERVATIONS ONLY</t>
  </si>
  <si>
    <t xml:space="preserve">Selected multiples use the median of the eight verified core historical transactions. Different EBITDA bases are not silently standardized: each basis is disclosed in the Precedent Transactions tab, and the percentile range limits reliance on individual extremes.</t>
  </si>
  <si>
    <t xml:space="preserve">Statistic</t>
  </si>
  <si>
    <t xml:space="preserve">25th Percentile</t>
  </si>
  <si>
    <t xml:space="preserve">SECONDARY SENSITIVITIES</t>
  </si>
  <si>
    <t xml:space="preserve">Full Core</t>
  </si>
  <si>
    <t xml:space="preserve">Ex-NI</t>
  </si>
  <si>
    <t xml:space="preserve">Recent Only (2020+)</t>
  </si>
  <si>
    <t xml:space="preserve">75th Percentile</t>
  </si>
  <si>
    <t xml:space="preserve">Mean</t>
  </si>
  <si>
    <t xml:space="preserve">Mean EV / EBITDA</t>
  </si>
  <si>
    <t xml:space="preserve">Observation Count</t>
  </si>
  <si>
    <t xml:space="preserve">Premium statistics use only the six transactions with a verified unaffected price or a directly disclosed premium. Private targets and transactions without a reliable pre-announcement price are explicitly excluded. The focal Baker Hughes / Chart transaction and supplemental references are not included in these precedent statistics.</t>
  </si>
  <si>
    <t xml:space="preserve">PREMIUM ANALYSIS</t>
  </si>
  <si>
    <t xml:space="preserve">Offer price vs. unaffected share price | Verified observations only</t>
  </si>
  <si>
    <t xml:space="preserve">FOCAL TRANSACTION PREMIUM</t>
  </si>
  <si>
    <t xml:space="preserve">Premium (%)</t>
  </si>
  <si>
    <t xml:space="preserve">Baker Hughes / Chart</t>
  </si>
  <si>
    <t xml:space="preserve">Baker Hughes / Chart Premium</t>
  </si>
  <si>
    <t xml:space="preserve">PRECEDENT TRANSACTION PREMIUMS — VERIFIED OBSERVATIONS</t>
  </si>
  <si>
    <t xml:space="preserve">PREMIUM STATISTICS — VERIFIED OBSERVATIONS</t>
  </si>
  <si>
    <t xml:space="preserve">FOCAL PREMIUM VS. PRECEDENT RANGE</t>
  </si>
  <si>
    <t xml:space="preserve">Comparison</t>
  </si>
  <si>
    <t xml:space="preserve">Result</t>
  </si>
  <si>
    <t xml:space="preserve">Premium / (Discount) to Precedent Median</t>
  </si>
  <si>
    <t xml:space="preserve">Baker Hughes / Chart Premium within Precedent 25th–75th Range?</t>
  </si>
  <si>
    <t xml:space="preserve">Flowserve / Velan’s 100.0% premium is retained because it is supported by the transaction announcement. It is an outlier relative to the rest of the verified set, so the median and percentile statistics are emphasized alongside the mean.</t>
  </si>
  <si>
    <t xml:space="preserve">Premium statistics use only the six precedent transactions with a verified unaffected price or a directly disclosed premium, consistent with the Transaction Multiples tab. Private targets and transactions lacking a reliable pre-announcement price are excluded.</t>
  </si>
  <si>
    <t xml:space="preserve">CHART INDUSTRIES — PRECEDENT TRANSACTIONS VALUATION</t>
  </si>
  <si>
    <t xml:space="preserve">Selected range uses 25th percentile / median / 75th percentile; $ in millions except per share</t>
  </si>
  <si>
    <t xml:space="preserve">VALUATION INPUTS</t>
  </si>
  <si>
    <t xml:space="preserve">Input</t>
  </si>
  <si>
    <t xml:space="preserve">Source</t>
  </si>
  <si>
    <t xml:space="preserve">FY2024A Revenue</t>
  </si>
  <si>
    <t xml:space="preserve">FY2024A Adjusted EBITDA</t>
  </si>
  <si>
    <t xml:space="preserve">Reported non-GAAP</t>
  </si>
  <si>
    <t xml:space="preserve">FY2024A Net Debt</t>
  </si>
  <si>
    <t xml:space="preserve">Debt less cash</t>
  </si>
  <si>
    <t xml:space="preserve">S09</t>
  </si>
  <si>
    <t xml:space="preserve">Cash consideration</t>
  </si>
  <si>
    <t xml:space="preserve">EV / REVENUE METHOD</t>
  </si>
  <si>
    <t xml:space="preserve">Low — 25th</t>
  </si>
  <si>
    <t xml:space="preserve">High — 75th</t>
  </si>
  <si>
    <t xml:space="preserve">Implied Share Price</t>
  </si>
  <si>
    <t xml:space="preserve">Premium / (Discount) vs Offer</t>
  </si>
  <si>
    <t xml:space="preserve">Less: Net Debt</t>
  </si>
  <si>
    <t xml:space="preserve">Premium / (Discount) vs Unaffected</t>
  </si>
  <si>
    <t xml:space="preserve">EV / Revenue Multiple</t>
  </si>
  <si>
    <t xml:space="preserve">Low</t>
  </si>
  <si>
    <t xml:space="preserve">High</t>
  </si>
  <si>
    <t xml:space="preserve">EV / ADJUSTED EBITDA METHOD</t>
  </si>
  <si>
    <t xml:space="preserve">EV / EBITDA Multiple</t>
  </si>
  <si>
    <t xml:space="preserve">VALUATION SUMMARY</t>
  </si>
  <si>
    <t xml:space="preserve">Method / Output</t>
  </si>
  <si>
    <t xml:space="preserve">EV/Revenue Low</t>
  </si>
  <si>
    <t xml:space="preserve">EV/Revenue Median</t>
  </si>
  <si>
    <t xml:space="preserve">EV/Revenue High</t>
  </si>
  <si>
    <t xml:space="preserve">EV/EBITDA Low</t>
  </si>
  <si>
    <t xml:space="preserve">EV/EBITDA Median</t>
  </si>
  <si>
    <t xml:space="preserve">EV/EBITDA High</t>
  </si>
  <si>
    <t xml:space="preserve">Blended Low</t>
  </si>
  <si>
    <t xml:space="preserve">Blended Median</t>
  </si>
  <si>
    <t xml:space="preserve">Blended High</t>
  </si>
  <si>
    <t xml:space="preserve">Implied Enterprise Value</t>
  </si>
  <si>
    <t xml:space="preserve">Selected Base Case</t>
  </si>
  <si>
    <t xml:space="preserve">Conclusion</t>
  </si>
  <si>
    <t xml:space="preserve">Blended Median Implied Share Price</t>
  </si>
  <si>
    <t xml:space="preserve">Average of EV/Revenue and EV/EBITDA median implied share prices</t>
  </si>
  <si>
    <t xml:space="preserve">Selected PTA base case</t>
  </si>
  <si>
    <t xml:space="preserve">Selected value / $171.65 - 1</t>
  </si>
  <si>
    <t xml:space="preserve">Illustrative</t>
  </si>
  <si>
    <t xml:space="preserve">Selected value / $210.00 - 1</t>
  </si>
  <si>
    <t xml:space="preserve">Valuation interpretation: percentile-based ranges reduce the influence of extreme observations. The selected base case is the simple average of the two median implied share prices; it is an analyst selection, not a company-disclosed value or fairness opinion.</t>
  </si>
  <si>
    <t xml:space="preserve">SENSITIVITY ANALYSIS — IMPLIED SHARE PRICE</t>
  </si>
  <si>
    <t xml:space="preserve">Implied share price sensitivity to EV/Revenue and EV/EBITDA multiples | $ per share</t>
  </si>
  <si>
    <t xml:space="preserve">BASE INPUTS</t>
  </si>
  <si>
    <t xml:space="preserve">Target Financials</t>
  </si>
  <si>
    <t xml:space="preserve">Transaction Overview</t>
  </si>
  <si>
    <t xml:space="preserve">EV / REVENUE SENSITIVITY — IMPLIED SHARE PRICE</t>
  </si>
  <si>
    <t xml:space="preserve">Multiple</t>
  </si>
  <si>
    <t xml:space="preserve">Scenario</t>
  </si>
  <si>
    <t xml:space="preserve">Downside</t>
  </si>
  <si>
    <t xml:space="preserve">Base Case</t>
  </si>
  <si>
    <t xml:space="preserve">Upside</t>
  </si>
  <si>
    <t xml:space="preserve">EV / EBITDA SENSITIVITY — IMPLIED SHARE PRICE</t>
  </si>
  <si>
    <t xml:space="preserve">TWO-WAY SENSITIVITY — BLENDED IMPLIED SHARE PRICE ($/SHARE)</t>
  </si>
  <si>
    <t xml:space="preserve">Rows: EV/EBITDA multiple (down) | Columns: EV/Revenue multiple (across) — blended average implied share price</t>
  </si>
  <si>
    <t xml:space="preserve">EV/EBITDA \ EV/Rev</t>
  </si>
  <si>
    <t xml:space="preserve">Sensitivity ranges are centered on the median EV/Revenue and EV/EBITDA precedent multiples from the Transaction Multiples tab, stepped in 0.25x increments. The two-way grid shows the simple average of the EV/Revenue-implied and EV/EBITDA-implied share prices at each multiple pairing.</t>
  </si>
  <si>
    <t xml:space="preserve">SENSITIVITY INTERPRETATION</t>
  </si>
  <si>
    <t xml:space="preserve">Low EV/Revenue and low EV/EBITDA case</t>
  </si>
  <si>
    <t xml:space="preserve">Selected median / median blended case</t>
  </si>
  <si>
    <t xml:space="preserve">High EV/Revenue and high EV/EBITDA case</t>
  </si>
  <si>
    <t xml:space="preserve">The two-way table varies both selected median multiples around the base case. The base-case blended value is linked directly to the PTA Valuation tab; downside and upside are analytical scenarios, not forecasts or company guidance.</t>
  </si>
  <si>
    <t xml:space="preserve">FOOTBALL FIELD — IMPLIED SHARE PRICE RANGES</t>
  </si>
  <si>
    <t xml:space="preserve">25th percentile to 75th percentile valuation ranges | $ per share</t>
  </si>
  <si>
    <t xml:space="preserve">VALUATION RANGE DATA</t>
  </si>
  <si>
    <t xml:space="preserve">Range Width</t>
  </si>
  <si>
    <t xml:space="preserve">REFERENCE PRICES</t>
  </si>
  <si>
    <t xml:space="preserve">Price</t>
  </si>
  <si>
    <t xml:space="preserve">Baker Hughes Offer Price</t>
  </si>
  <si>
    <t xml:space="preserve">Cash offer</t>
  </si>
  <si>
    <t xml:space="preserve">Blended median</t>
  </si>
  <si>
    <t xml:space="preserve">The 25th–75th percentile ranges reduce reliance on extremes. Emerson / National Instruments' 30.6x standardized-EBITDA observation is retained in the raw set but does not set the displayed range.</t>
  </si>
  <si>
    <t xml:space="preserve">The disclosed ~9.0x forward, synergy-adjusted Baker Hughes / Chart multiple is intentionally excluded from the historical PTA; see Transaction Overview and Dashboard.</t>
  </si>
  <si>
    <t xml:space="preserve">REFERENCE PRICE COMPARISON</t>
  </si>
  <si>
    <t xml:space="preserve">Blended PTA Valuation</t>
  </si>
  <si>
    <t xml:space="preserve">TRANSACTION SCREENING — COMPARABILITY ASSESSMENT</t>
  </si>
  <si>
    <t xml:space="preserve">Comparability criteria scored 1 (low) to 5 (high) | Supports qualitative assessment; data completeness determines statistical inclusion.</t>
  </si>
  <si>
    <t xml:space="preserve">SCREENING CRITERIA</t>
  </si>
  <si>
    <t xml:space="preserve">Criterion</t>
  </si>
  <si>
    <t xml:space="preserve">Weight</t>
  </si>
  <si>
    <t xml:space="preserve">Description</t>
  </si>
  <si>
    <t xml:space="preserve">Industry Similarity</t>
  </si>
  <si>
    <t xml:space="preserve">Overlap with flow control, compression and industrial process technology end markets</t>
  </si>
  <si>
    <t xml:space="preserve">Business Model</t>
  </si>
  <si>
    <t xml:space="preserve">Mix of equipment sales vs. recurring aftermarket / service revenue</t>
  </si>
  <si>
    <t xml:space="preserve">Size</t>
  </si>
  <si>
    <t xml:space="preserve">Enterprise value scale relative to the focal transaction</t>
  </si>
  <si>
    <t xml:space="preserve">Similarity of stated acquisition rationale (portfolio, end-market, aftermarket expansion)</t>
  </si>
  <si>
    <t xml:space="preserve">Recency</t>
  </si>
  <si>
    <t xml:space="preserve">Proximity of announcement date to the focal transaction</t>
  </si>
  <si>
    <t xml:space="preserve">Data Availability</t>
  </si>
  <si>
    <t xml:space="preserve">Reliability and completeness of disclosed EV, revenue, EBITDA and pricing data</t>
  </si>
  <si>
    <t xml:space="preserve">SCREENING SCORES — CORE PRECEDENT SET</t>
  </si>
  <si>
    <t xml:space="preserve">Overall Comparability (%)</t>
  </si>
  <si>
    <t xml:space="preserve">SCREENING OUTCOME AND STATISTICAL INCLUSION</t>
  </si>
  <si>
    <t xml:space="preserve">Total Score / 30</t>
  </si>
  <si>
    <t xml:space="preserve">Comparability (%)</t>
  </si>
  <si>
    <t xml:space="preserve">SUPPLEMENTAL / EXCLUDED REFERENCE TRANSACTIONS</t>
  </si>
  <si>
    <t xml:space="preserve">Reason for Exclusion from Core Statistics</t>
  </si>
  <si>
    <t xml:space="preserve">Comparability scores are an analyst assessment of business similarity, strategic fit, transaction size, recency and data quality. All eight verified core transactions remain in the core statistical set regardless of score; supplemental transactions are excluded only for missing or mismatched required data.</t>
  </si>
  <si>
    <t xml:space="preserve">SOURCE REGISTER AND DATA QUALITY CHECKS</t>
  </si>
  <si>
    <t xml:space="preserve">Primary company and SEC materials prioritized | URLs recorded for every major input</t>
  </si>
  <si>
    <t xml:space="preserve">SOURCE REGISTER</t>
  </si>
  <si>
    <t xml:space="preserve">Company / Transaction</t>
  </si>
  <si>
    <t xml:space="preserve">Document</t>
  </si>
  <si>
    <t xml:space="preserve">Document Date</t>
  </si>
  <si>
    <t xml:space="preserve">URL / Filing Reference</t>
  </si>
  <si>
    <t xml:space="preserve">Data Supported</t>
  </si>
  <si>
    <t xml:space="preserve">Source Type</t>
  </si>
  <si>
    <t xml:space="preserve">Acquisition announcement</t>
  </si>
  <si>
    <t xml:space="preserve">29-Jul-2025</t>
  </si>
  <si>
    <t xml:space="preserve">https://investors.bakerhughes.com/news/press-releases/news-details/2025/Baker-Hughes-to-Acquire-Chart-Industries-Accelerating-Energy-Industrial-Technology-Strategy-07-29-2025/default.aspx</t>
  </si>
  <si>
    <t xml:space="preserve">Offer, EV, synergies, leverage, accretion, rationale</t>
  </si>
  <si>
    <t xml:space="preserve">Company announcement</t>
  </si>
  <si>
    <t xml:space="preserve">Primary</t>
  </si>
  <si>
    <t xml:space="preserve">Transaction presentation / SEC exhibit</t>
  </si>
  <si>
    <t xml:space="preserve">https://www.sec.gov/Archives/edgar/data/1701605/000119312525167118/d912206dex992.htm</t>
  </si>
  <si>
    <t xml:space="preserve">~9x 2025E synergy-adjusted multiple; financing</t>
  </si>
  <si>
    <t xml:space="preserve">SEC filing exhibit</t>
  </si>
  <si>
    <t xml:space="preserve">Definitive merger proxy</t>
  </si>
  <si>
    <t xml:space="preserve">2025</t>
  </si>
  <si>
    <t xml:space="preserve">https://www.sec.gov/Archives/edgar/data/892553/000119312525198320/d52397ddefm14a.htm</t>
  </si>
  <si>
    <t xml:space="preserve">Unaffected share price, transaction process and record-date common shares</t>
  </si>
  <si>
    <t xml:space="preserve">SEC filing</t>
  </si>
  <si>
    <t xml:space="preserve">Completion announcement</t>
  </si>
  <si>
    <t xml:space="preserve">16-Jul-2026</t>
  </si>
  <si>
    <t xml:space="preserve">https://investors.bakerhughes.com/news/press-releases/news-details/2026/Baker-Hughes-Completes-Acquisition-of-Chart-Industries/default.aspx</t>
  </si>
  <si>
    <t xml:space="preserve">Closing date and permanent financing description</t>
  </si>
  <si>
    <t xml:space="preserve">FY2024 results / annual report</t>
  </si>
  <si>
    <t xml:space="preserve">https://www.sec.gov/Archives/edgar/data/892553/000089255325000036/exhibit991gtls-20241231pre.htm</t>
  </si>
  <si>
    <t xml:space="preserve">FY2024 financials, adjusted EBITDA, capitalization</t>
  </si>
  <si>
    <t xml:space="preserve">S06</t>
  </si>
  <si>
    <t xml:space="preserve">FY2023 results</t>
  </si>
  <si>
    <t xml:space="preserve">2024</t>
  </si>
  <si>
    <t xml:space="preserve">https://www.sec.gov/Archives/edgar/data/892553/000089255324000063/exhibit991gtls-20231231pre.htm</t>
  </si>
  <si>
    <t xml:space="preserve">FY2023 financials and non-GAAP measures</t>
  </si>
  <si>
    <t xml:space="preserve">S07</t>
  </si>
  <si>
    <t xml:space="preserve">FY2022 Form 10-K</t>
  </si>
  <si>
    <t xml:space="preserve">2023</t>
  </si>
  <si>
    <t xml:space="preserve">https://www.sec.gov/Archives/edgar/data/892553/000089255323000043/gtls-20221231.htm</t>
  </si>
  <si>
    <t xml:space="preserve">FY2022 financials and capitalization</t>
  </si>
  <si>
    <t xml:space="preserve">S08</t>
  </si>
  <si>
    <t xml:space="preserve">FY2025 Form 10-K</t>
  </si>
  <si>
    <t xml:space="preserve">2026</t>
  </si>
  <si>
    <t xml:space="preserve">https://www.sec.gov/Archives/edgar/data/892553/000089255326000027/gtls-20251231.htm</t>
  </si>
  <si>
    <t xml:space="preserve">FY2025 post-announcement actual financials</t>
  </si>
  <si>
    <t xml:space="preserve">S10</t>
  </si>
  <si>
    <t xml:space="preserve">10-Feb-2023</t>
  </si>
  <si>
    <t xml:space="preserve">https://ir.flowserve.com/news-events/news-details/2023/Flowserve-to-Acquire-Velan-in-an-All-cash-Transaction-Valued-at-Approximately-245-million-C329-million-02-10-2023/default.aspx</t>
  </si>
  <si>
    <t xml:space="preserve">EV, equity value, financials, premium, rationale</t>
  </si>
  <si>
    <t xml:space="preserve">S11</t>
  </si>
  <si>
    <t xml:space="preserve">Regulatory rejection / termination</t>
  </si>
  <si>
    <t xml:space="preserve">05-Oct-2023</t>
  </si>
  <si>
    <t xml:space="preserve">https://ir.flowserve.com/news-events/news-details/2023/Flowserve-Announces-French-Regulatory-Rejection-of-Velan-Transaction-10-05-2023/default.aspx</t>
  </si>
  <si>
    <t xml:space="preserve">Transaction status</t>
  </si>
  <si>
    <t xml:space="preserve">S12</t>
  </si>
  <si>
    <t xml:space="preserve">02-Apr-2024</t>
  </si>
  <si>
    <t xml:space="preserve">https://investorcenter.slb.com/news-releases/news-release-details/slb-announces-agreement-acquire-championx-all-stock-transaction/</t>
  </si>
  <si>
    <t xml:space="preserve">Equity value, consideration, premium, rationale</t>
  </si>
  <si>
    <t xml:space="preserve">S13</t>
  </si>
  <si>
    <t xml:space="preserve">Joint proxy / registration statement</t>
  </si>
  <si>
    <t xml:space="preserve">https://www.sec.gov/Archives/edgar/data/87347/000119312524139403/d818663d424b3.htm</t>
  </si>
  <si>
    <t xml:space="preserve">Transaction terms and valuation support</t>
  </si>
  <si>
    <t xml:space="preserve">S14</t>
  </si>
  <si>
    <t xml:space="preserve">2023 Annual Report</t>
  </si>
  <si>
    <t xml:space="preserve">https://www.sec.gov/Archives/edgar/data/1723089/000172308924000078/championx_2023annualreport.pdf</t>
  </si>
  <si>
    <t xml:space="preserve">Revenue, adjusted EBITDA, net debt</t>
  </si>
  <si>
    <t xml:space="preserve">S15</t>
  </si>
  <si>
    <t xml:space="preserve">12-Apr-2023</t>
  </si>
  <si>
    <t xml:space="preserve">https://www.emerson.com/en/corporate/news/2023/04-emerson-ni-acquisition</t>
  </si>
  <si>
    <t xml:space="preserve">Offer, equity value, rationale</t>
  </si>
  <si>
    <t xml:space="preserve">S16</t>
  </si>
  <si>
    <t xml:space="preserve">2022 Annual Report</t>
  </si>
  <si>
    <t xml:space="preserve">https://www.sec.gov/Archives/edgar/data/935494/000114036123013883/ny20006399x3_ars.pdf</t>
  </si>
  <si>
    <t xml:space="preserve">Revenue, EBIT and D&amp;A</t>
  </si>
  <si>
    <t xml:space="preserve">S17</t>
  </si>
  <si>
    <t xml:space="preserve">2024 Form 10-K transaction note</t>
  </si>
  <si>
    <t xml:space="preserve">https://www.sec.gov/Archives/edgar/data/32604/000003260425000012/emr-20241231.htm</t>
  </si>
  <si>
    <t xml:space="preserve">Purchase consideration / enterprise-value bridge</t>
  </si>
  <si>
    <t xml:space="preserve">S18</t>
  </si>
  <si>
    <t xml:space="preserve">27-Oct-2022</t>
  </si>
  <si>
    <t xml:space="preserve">https://investors.regalrexnord.com/investors/ir-news/press-release-details/2022/REGAL-REXNORD-TO-ACQUIRE-ALTRA-INDUSTRIAL-MOTION/default.aspx</t>
  </si>
  <si>
    <t xml:space="preserve">EV, premium, disclosed multiple, rationale</t>
  </si>
  <si>
    <t xml:space="preserve">S19</t>
  </si>
  <si>
    <t xml:space="preserve">Q3 2022 Form 10-Q</t>
  </si>
  <si>
    <t xml:space="preserve">2022</t>
  </si>
  <si>
    <t xml:space="preserve">https://www.sec.gov/Archives/edgar/data/1374535/000095017022021983/aimc-20220930.htm</t>
  </si>
  <si>
    <t xml:space="preserve">LTM revenue calculation</t>
  </si>
  <si>
    <t xml:space="preserve">S20</t>
  </si>
  <si>
    <t xml:space="preserve">FY2021 results</t>
  </si>
  <si>
    <t xml:space="preserve">https://www.sec.gov/Archives/edgar/data/1374535/000095015722001149/ex99-1.htm</t>
  </si>
  <si>
    <t xml:space="preserve">Historical revenue support</t>
  </si>
  <si>
    <t xml:space="preserve">S21</t>
  </si>
  <si>
    <t xml:space="preserve">Transaction materials</t>
  </si>
  <si>
    <t xml:space="preserve">https://www.sec.gov/Archives/edgar/data/892553/000119312522302891/d313442d424b5.htm</t>
  </si>
  <si>
    <t xml:space="preserve">Purchase price and transaction terms</t>
  </si>
  <si>
    <t xml:space="preserve">S22</t>
  </si>
  <si>
    <t xml:space="preserve">Acquisition presentation</t>
  </si>
  <si>
    <t xml:space="preserve">09-Nov-2022</t>
  </si>
  <si>
    <t xml:space="preserve">https://www.sec.gov/Archives/edgar/data/892553/000119312522280686/d411515dex992.htm</t>
  </si>
  <si>
    <t xml:space="preserve">Revenue, adjusted EBITDA, rationale</t>
  </si>
  <si>
    <t xml:space="preserve">S23</t>
  </si>
  <si>
    <t xml:space="preserve">Q2 2023 Form 10-Q</t>
  </si>
  <si>
    <t xml:space="preserve">https://www.sec.gov/Archives/edgar/data/892553/000089255323000119/gtls-20230630.htm</t>
  </si>
  <si>
    <t xml:space="preserve">Completion and purchase consideration</t>
  </si>
  <si>
    <t xml:space="preserve">S24</t>
  </si>
  <si>
    <t xml:space="preserve">22-Sep-2014</t>
  </si>
  <si>
    <t xml:space="preserve">https://press.siemens.com/global/en/pressrelease/siemens-announces-agreement-acquire-dresser-rand</t>
  </si>
  <si>
    <t xml:space="preserve">EV, offer and rationale</t>
  </si>
  <si>
    <t xml:space="preserve">S25</t>
  </si>
  <si>
    <t xml:space="preserve">2013 Form 10-K</t>
  </si>
  <si>
    <t xml:space="preserve">2014</t>
  </si>
  <si>
    <t xml:space="preserve">https://www.sec.gov/Archives/edgar/data/1334978/000133497814000005/10-K.htm</t>
  </si>
  <si>
    <t xml:space="preserve">S26</t>
  </si>
  <si>
    <t xml:space="preserve">Completion filing</t>
  </si>
  <si>
    <t xml:space="preserve">2015</t>
  </si>
  <si>
    <t xml:space="preserve">https://www.sec.gov/Archives/edgar/data/1316656/000114420415040020/v414457_8k.htm</t>
  </si>
  <si>
    <t xml:space="preserve">Completion date</t>
  </si>
  <si>
    <t xml:space="preserve">S27</t>
  </si>
  <si>
    <t xml:space="preserve">Merger proxy</t>
  </si>
  <si>
    <t xml:space="preserve">2013</t>
  </si>
  <si>
    <t xml:space="preserve">https://www.sec.gov/Archives/edgar/data/916459/000119312513154217/d467724dprem14a.htm</t>
  </si>
  <si>
    <t xml:space="preserve">Offer, unaffected price, transaction terms</t>
  </si>
  <si>
    <t xml:space="preserve">S28</t>
  </si>
  <si>
    <t xml:space="preserve">2012 Form 10-K/A</t>
  </si>
  <si>
    <t xml:space="preserve">https://www.sec.gov/Archives/edgar/data/916459/000119312513153846/d519110d10ka.htm</t>
  </si>
  <si>
    <t xml:space="preserve">FY2012 revenue</t>
  </si>
  <si>
    <t xml:space="preserve">S29</t>
  </si>
  <si>
    <t xml:space="preserve">Transaction announcement</t>
  </si>
  <si>
    <t xml:space="preserve">08-Mar-2013</t>
  </si>
  <si>
    <t xml:space="preserve">https://media.kkr.com/news-details?news_id=70301af5-8e31-4f88-ae37-9cff45bb29ff&amp;type=1</t>
  </si>
  <si>
    <t xml:space="preserve">EV and disclosed EBITDA multiple</t>
  </si>
  <si>
    <t xml:space="preserve">S30</t>
  </si>
  <si>
    <t xml:space="preserve">15-Nov-2010</t>
  </si>
  <si>
    <t xml:space="preserve">https://www.sec.gov/Archives/edgar/data/740761/000095012310105440/y87760exv99w1.htm</t>
  </si>
  <si>
    <t xml:space="preserve">EV, equity value, premium and rationale</t>
  </si>
  <si>
    <t xml:space="preserve">S31</t>
  </si>
  <si>
    <t xml:space="preserve">2010 Annual Report</t>
  </si>
  <si>
    <t xml:space="preserve">2011</t>
  </si>
  <si>
    <t xml:space="preserve">https://www.sec.gov/Archives/edgar/data/740761/000119312511052284/dex13.htm</t>
  </si>
  <si>
    <t xml:space="preserve">Revenue and adjusted EBITDA</t>
  </si>
  <si>
    <t xml:space="preserve">Honeywell / Sundyne</t>
  </si>
  <si>
    <t xml:space="preserve">04-Mar-2025</t>
  </si>
  <si>
    <t xml:space="preserve">https://investor.honeywell.com/news-releases/news-release-details/honeywell-acquire-sundyne-expand-critical-equipment-portfolio</t>
  </si>
  <si>
    <t xml:space="preserve">EV and disclosed EBITDA multiple; revenue not disclosed</t>
  </si>
  <si>
    <t xml:space="preserve">GE / Lufkin</t>
  </si>
  <si>
    <t xml:space="preserve">08-Apr-2013</t>
  </si>
  <si>
    <t xml:space="preserve">https://www.sec.gov/Archives/edgar/data/60849/000119312513144952/d517886dex991.htm</t>
  </si>
  <si>
    <t xml:space="preserve">EV, revenue and forward multiple; period mismatch noted</t>
  </si>
  <si>
    <t xml:space="preserve">Preliminary merger proxy — filing-fee exhibit</t>
  </si>
  <si>
    <t xml:space="preserve">28-Aug-2025</t>
  </si>
  <si>
    <t xml:space="preserve">https://www.sec.gov/Archives/edgar/data/892553/000119312525191284/d52397dprem14a.htm</t>
  </si>
  <si>
    <t xml:space="preserve">Fully diluted transaction interests and $10,295.452mm maximum transaction valuation</t>
  </si>
  <si>
    <t xml:space="preserve">SEC filing / fee exhibit</t>
  </si>
  <si>
    <t xml:space="preserve">DATA QUALITY AND MODEL INTEGRITY CHECKS</t>
  </si>
  <si>
    <t xml:space="preserve">Check</t>
  </si>
  <si>
    <t xml:space="preserve">Calculation Detail</t>
  </si>
  <si>
    <t xml:space="preserve">Expected</t>
  </si>
  <si>
    <t xml:space="preserve">Comment</t>
  </si>
  <si>
    <t xml:space="preserve">Core precedent count</t>
  </si>
  <si>
    <t xml:space="preserve">Eight core historical precedents</t>
  </si>
  <si>
    <t xml:space="preserve">Verified core EV count</t>
  </si>
  <si>
    <t xml:space="preserve">No missing enterprise values</t>
  </si>
  <si>
    <t xml:space="preserve">Verified core revenue count</t>
  </si>
  <si>
    <t xml:space="preserve">No missing core revenue</t>
  </si>
  <si>
    <t xml:space="preserve">Verified core EBITDA count</t>
  </si>
  <si>
    <t xml:space="preserve">No missing core EBITDA</t>
  </si>
  <si>
    <t xml:space="preserve">Core announcement dates</t>
  </si>
  <si>
    <t xml:space="preserve">No missing announcement dates</t>
  </si>
  <si>
    <t xml:space="preserve">Core financial periods</t>
  </si>
  <si>
    <t xml:space="preserve">No missing financial period labels</t>
  </si>
  <si>
    <t xml:space="preserve">Duplicate transactions</t>
  </si>
  <si>
    <t xml:space="preserve">No duplicate buyer / target combinations</t>
  </si>
  <si>
    <t xml:space="preserve">EV / Revenue exact checks</t>
  </si>
  <si>
    <t xml:space="preserve">Every core formula reconciles to EV / Revenue</t>
  </si>
  <si>
    <t xml:space="preserve">EV / EBITDA classification checks</t>
  </si>
  <si>
    <t xml:space="preserve">All core observations classified; derived EBITDA ties are not treated as independent verification</t>
  </si>
  <si>
    <t xml:space="preserve">Unit consistency</t>
  </si>
  <si>
    <t xml:space="preserve">All core monetary inputs stated in $mm</t>
  </si>
  <si>
    <t xml:space="preserve">Premium observation count</t>
  </si>
  <si>
    <t xml:space="preserve">Only verified premiums included</t>
  </si>
  <si>
    <t xml:space="preserve">Chart EV-to-equity reconciliation</t>
  </si>
  <si>
    <t xml:space="preserve">Implied EV less net debt equals equity value</t>
  </si>
  <si>
    <t xml:space="preserve">Share-price reconciliation</t>
  </si>
  <si>
    <t xml:space="preserve">Equity value / diluted shares equals share price</t>
  </si>
  <si>
    <t xml:space="preserve">Selected base-case link</t>
  </si>
  <si>
    <t xml:space="preserve">Blended median links correctly</t>
  </si>
  <si>
    <t xml:space="preserve">Offer / unaffected input tie</t>
  </si>
  <si>
    <t xml:space="preserve">Target Financials inputs must link exactly to Transaction Overview</t>
  </si>
  <si>
    <t xml:space="preserve">Football Field linkage</t>
  </si>
  <si>
    <t xml:space="preserve">Range and blended reference values link to final PTA outputs</t>
  </si>
  <si>
    <t xml:space="preserve">Sensitivity base-case linkage</t>
  </si>
  <si>
    <t xml:space="preserve">Median / median blended sensitivity equals selected PTA base case</t>
  </si>
  <si>
    <t xml:space="preserve">Dashboard linkage</t>
  </si>
  <si>
    <t xml:space="preserve">Dashboard PTA value links to selected valuation</t>
  </si>
  <si>
    <t xml:space="preserve">No broken formula indicators</t>
  </si>
  <si>
    <t xml:space="preserve">Visible formula-error indicator scan; external audit also performed</t>
  </si>
  <si>
    <t xml:space="preserve">Focal premium calculation</t>
  </si>
  <si>
    <t xml:space="preserve">Transaction premium equals linked offer / unaffected price less one</t>
  </si>
  <si>
    <t xml:space="preserve">Signing-date share-count reconciliation</t>
  </si>
  <si>
    <t xml:space="preserve">Component sum equals proxy transaction valuation divided by linked offer price</t>
  </si>
  <si>
    <t xml:space="preserve">DATA QUALITY</t>
  </si>
  <si>
    <t xml:space="preserve">Model Status</t>
  </si>
  <si>
    <t xml:space="preserve">Overall</t>
  </si>
  <si>
    <t xml:space="preserve">All core inputs verified; exclusions and EBITDA bases disclosed</t>
  </si>
</sst>
</file>

<file path=xl/styles.xml><?xml version="1.0" encoding="utf-8"?>
<styleSheet xmlns="http://schemas.openxmlformats.org/spreadsheetml/2006/main">
  <numFmts count="24">
    <numFmt numFmtId="164" formatCode="General"/>
    <numFmt numFmtId="165" formatCode="_-* #,##0.00_-;\-* #,##0.00_-;_-* \-??_-;_-@_-"/>
    <numFmt numFmtId="166" formatCode="_-* #,##0_-;\-* #,##0_-;_-* \-_-;_-@_-"/>
    <numFmt numFmtId="167" formatCode="0%"/>
    <numFmt numFmtId="168" formatCode="0.0#;\(0.0#\);\-"/>
    <numFmt numFmtId="169" formatCode="dd\-mmm\-yyyy"/>
    <numFmt numFmtId="170" formatCode="#,##0;\(#,##0\);\-"/>
    <numFmt numFmtId="171" formatCode="\$0.00;&quot;($&quot;0.00\);\-"/>
    <numFmt numFmtId="172" formatCode="0.0%;\(0.0%\);\-"/>
    <numFmt numFmtId="173" formatCode="#,##0.0;\(#,##0.0\);\-"/>
    <numFmt numFmtId="174" formatCode="0.0\x;\(0.0&quot;x)&quot;;\-"/>
    <numFmt numFmtId="175" formatCode="0.00\x;\(0.00&quot;x)&quot;;\-"/>
    <numFmt numFmtId="176" formatCode="0.000"/>
    <numFmt numFmtId="177" formatCode="\$0.00"/>
    <numFmt numFmtId="178" formatCode="\$#,##0.0"/>
    <numFmt numFmtId="179" formatCode="#,##0.0"/>
    <numFmt numFmtId="180" formatCode="0.0\x"/>
    <numFmt numFmtId="181" formatCode="0"/>
    <numFmt numFmtId="182" formatCode="0.0\x"/>
    <numFmt numFmtId="183" formatCode="0.0"/>
    <numFmt numFmtId="184" formatCode="0.00"/>
    <numFmt numFmtId="185" formatCode="\$0.00"/>
    <numFmt numFmtId="186" formatCode="0.0%"/>
    <numFmt numFmtId="187" formatCode="0.0000"/>
  </numFmts>
  <fonts count="30">
    <font>
      <sz val="10"/>
      <name val="Arial"/>
      <family val="2"/>
    </font>
    <font>
      <sz val="10"/>
      <name val="Arial"/>
      <family val="0"/>
    </font>
    <font>
      <sz val="10"/>
      <name val="Arial"/>
      <family val="0"/>
    </font>
    <font>
      <sz val="10"/>
      <name val="Arial"/>
      <family val="0"/>
    </font>
    <font>
      <sz val="10"/>
      <name val="Arial"/>
      <family val="0"/>
      <charset val="1"/>
    </font>
    <font>
      <b val="true"/>
      <sz val="15"/>
      <color rgb="FFFFFFFF"/>
      <name val="Arial"/>
      <family val="0"/>
      <charset val="1"/>
    </font>
    <font>
      <i val="true"/>
      <sz val="9"/>
      <color rgb="FF595959"/>
      <name val="Arial"/>
      <family val="0"/>
      <charset val="1"/>
    </font>
    <font>
      <b val="true"/>
      <sz val="10"/>
      <color rgb="FFFFFFFF"/>
      <name val="Arial"/>
      <family val="0"/>
      <charset val="1"/>
    </font>
    <font>
      <b val="true"/>
      <sz val="9"/>
      <color rgb="FF000000"/>
      <name val="Arial"/>
      <family val="0"/>
      <charset val="1"/>
    </font>
    <font>
      <sz val="10"/>
      <color rgb="FF000000"/>
      <name val="Arial"/>
      <family val="0"/>
      <charset val="1"/>
    </font>
    <font>
      <sz val="10"/>
      <color rgb="FF008000"/>
      <name val="Arial"/>
      <family val="0"/>
      <charset val="1"/>
    </font>
    <font>
      <b val="true"/>
      <sz val="12"/>
      <color rgb="FF008000"/>
      <name val="Arial"/>
      <family val="0"/>
      <charset val="1"/>
    </font>
    <font>
      <b val="true"/>
      <sz val="10"/>
      <color rgb="FF000000"/>
      <name val="Arial"/>
      <family val="0"/>
      <charset val="1"/>
    </font>
    <font>
      <b val="true"/>
      <sz val="10"/>
      <color rgb="FF008000"/>
      <name val="Arial"/>
      <family val="0"/>
      <charset val="1"/>
    </font>
    <font>
      <b val="true"/>
      <i val="true"/>
      <sz val="9"/>
      <color rgb="FF7F6000"/>
      <name val="Arial"/>
      <family val="0"/>
      <charset val="1"/>
    </font>
    <font>
      <b val="true"/>
      <sz val="18"/>
      <color rgb="FF000000"/>
      <name val="Calibri"/>
      <family val="2"/>
    </font>
    <font>
      <sz val="10"/>
      <color rgb="FF000000"/>
      <name val="Calibri"/>
      <family val="2"/>
    </font>
    <font>
      <b val="true"/>
      <sz val="9"/>
      <color rgb="FFFFFFFF"/>
      <name val="Arial"/>
      <family val="0"/>
      <charset val="1"/>
    </font>
    <font>
      <sz val="9"/>
      <color rgb="FF0000FF"/>
      <name val="Arial"/>
      <family val="0"/>
      <charset val="1"/>
    </font>
    <font>
      <sz val="9"/>
      <color rgb="FF008000"/>
      <name val="Arial"/>
      <family val="0"/>
      <charset val="1"/>
    </font>
    <font>
      <sz val="9"/>
      <color rgb="FF000000"/>
      <name val="Arial"/>
      <family val="0"/>
      <charset val="1"/>
    </font>
    <font>
      <sz val="9"/>
      <color rgb="FFC00000"/>
      <name val="Arial"/>
      <family val="0"/>
      <charset val="1"/>
    </font>
    <font>
      <b val="true"/>
      <sz val="9"/>
      <color rgb="FF7F6000"/>
      <name val="Arial"/>
      <family val="0"/>
      <charset val="1"/>
    </font>
    <font>
      <i val="true"/>
      <sz val="9"/>
      <color rgb="FF666666"/>
      <name val="Arial"/>
      <family val="0"/>
      <charset val="1"/>
    </font>
    <font>
      <sz val="10"/>
      <color rgb="FF0000FF"/>
      <name val="Arial"/>
      <family val="0"/>
      <charset val="1"/>
    </font>
    <font>
      <i val="true"/>
      <sz val="10"/>
      <color rgb="FF595959"/>
      <name val="Arial"/>
      <family val="0"/>
      <charset val="1"/>
    </font>
    <font>
      <i val="true"/>
      <sz val="8"/>
      <color rgb="FF595959"/>
      <name val="Arial"/>
      <family val="0"/>
      <charset val="1"/>
    </font>
    <font>
      <i val="true"/>
      <sz val="10"/>
      <color rgb="FF000000"/>
      <name val="Arial"/>
      <family val="0"/>
      <charset val="1"/>
    </font>
    <font>
      <b val="true"/>
      <sz val="10"/>
      <color rgb="FF548235"/>
      <name val="Arial"/>
      <family val="0"/>
      <charset val="1"/>
    </font>
    <font>
      <b val="true"/>
      <sz val="11"/>
      <color rgb="FF548235"/>
      <name val="Arial"/>
      <family val="0"/>
      <charset val="1"/>
    </font>
  </fonts>
  <fills count="10">
    <fill>
      <patternFill patternType="none"/>
    </fill>
    <fill>
      <patternFill patternType="gray125"/>
    </fill>
    <fill>
      <patternFill patternType="solid">
        <fgColor rgb="FF0B1F3A"/>
        <bgColor rgb="FF003300"/>
      </patternFill>
    </fill>
    <fill>
      <patternFill patternType="solid">
        <fgColor rgb="FFF2F2F2"/>
        <bgColor rgb="FFEAF2F8"/>
      </patternFill>
    </fill>
    <fill>
      <patternFill patternType="solid">
        <fgColor rgb="FF1F4E78"/>
        <bgColor rgb="FF156082"/>
      </patternFill>
    </fill>
    <fill>
      <patternFill patternType="solid">
        <fgColor rgb="FFD9E2F3"/>
        <bgColor rgb="FFD9D9D9"/>
      </patternFill>
    </fill>
    <fill>
      <patternFill patternType="solid">
        <fgColor rgb="FFE2F0D9"/>
        <bgColor rgb="FFEAF2F8"/>
      </patternFill>
    </fill>
    <fill>
      <patternFill patternType="solid">
        <fgColor rgb="FFFFF2CC"/>
        <bgColor rgb="FFFCE4D6"/>
      </patternFill>
    </fill>
    <fill>
      <patternFill patternType="solid">
        <fgColor rgb="FFEAF2F8"/>
        <bgColor rgb="FFF2F2F2"/>
      </patternFill>
    </fill>
    <fill>
      <patternFill patternType="solid">
        <fgColor rgb="FFFFFFFF"/>
        <bgColor rgb="FFF2F2F2"/>
      </patternFill>
    </fill>
  </fills>
  <borders count="35">
    <border diagonalUp="false" diagonalDown="false">
      <left/>
      <right/>
      <top/>
      <bottom/>
      <diagonal/>
    </border>
    <border diagonalUp="false" diagonalDown="false">
      <left style="thin"/>
      <right style="thin"/>
      <top style="thin"/>
      <bottom style="medium">
        <color rgb="FF1F4E78"/>
      </bottom>
      <diagonal/>
    </border>
    <border diagonalUp="false" diagonalDown="false">
      <left/>
      <right/>
      <top style="thin"/>
      <bottom style="medium">
        <color rgb="FF1F4E78"/>
      </bottom>
      <diagonal/>
    </border>
    <border diagonalUp="false" diagonalDown="false">
      <left/>
      <right style="thin"/>
      <top style="thin"/>
      <bottom style="medium">
        <color rgb="FF1F4E78"/>
      </bottom>
      <diagonal/>
    </border>
    <border diagonalUp="false" diagonalDown="false">
      <left style="thin"/>
      <right style="thin"/>
      <top/>
      <bottom/>
      <diagonal/>
    </border>
    <border diagonalUp="false" diagonalDown="false">
      <left/>
      <right style="thin"/>
      <top/>
      <bottom/>
      <diagonal/>
    </border>
    <border diagonalUp="false" diagonalDown="false">
      <left/>
      <right/>
      <top/>
      <bottom style="thin">
        <color rgb="FFB7C9D6"/>
      </bottom>
      <diagonal/>
    </border>
    <border diagonalUp="false" diagonalDown="false">
      <left/>
      <right style="thin"/>
      <top/>
      <bottom style="thin">
        <color rgb="FFB7C9D6"/>
      </bottom>
      <diagonal/>
    </border>
    <border diagonalUp="false" diagonalDown="false">
      <left/>
      <right/>
      <top style="thin">
        <color rgb="FFB7C9D6"/>
      </top>
      <bottom style="thin">
        <color rgb="FFB7C9D6"/>
      </bottom>
      <diagonal/>
    </border>
    <border diagonalUp="false" diagonalDown="false">
      <left/>
      <right style="thin"/>
      <top style="thin">
        <color rgb="FFB7C9D6"/>
      </top>
      <bottom style="thin">
        <color rgb="FFB7C9D6"/>
      </bottom>
      <diagonal/>
    </border>
    <border diagonalUp="false" diagonalDown="false">
      <left/>
      <right/>
      <top/>
      <bottom style="medium">
        <color rgb="FF1F4E78"/>
      </bottom>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color rgb="FFB7C9D6"/>
      </top>
      <bottom style="thin"/>
      <diagonal/>
    </border>
    <border diagonalUp="false" diagonalDown="false">
      <left/>
      <right style="thin"/>
      <top style="thin">
        <color rgb="FFB7C9D6"/>
      </top>
      <bottom style="thin"/>
      <diagonal/>
    </border>
    <border diagonalUp="false" diagonalDown="false">
      <left/>
      <right/>
      <top style="thin">
        <color rgb="FFD6B656"/>
      </top>
      <bottom style="thin">
        <color rgb="FFD6B656"/>
      </bottom>
      <diagonal/>
    </border>
    <border diagonalUp="false" diagonalDown="false">
      <left/>
      <right/>
      <top/>
      <bottom style="medium">
        <color rgb="FF0B1F3A"/>
      </bottom>
      <diagonal/>
    </border>
    <border diagonalUp="false" diagonalDown="false">
      <left/>
      <right/>
      <top style="thin">
        <color rgb="FFA6A6A6"/>
      </top>
      <bottom style="medium">
        <color rgb="FF1F4E78"/>
      </bottom>
      <diagonal/>
    </border>
    <border diagonalUp="false" diagonalDown="false">
      <left/>
      <right style="thin">
        <color rgb="FFA6A6A6"/>
      </right>
      <top style="thin">
        <color rgb="FFA6A6A6"/>
      </top>
      <bottom style="medium">
        <color rgb="FF1F4E78"/>
      </bottom>
      <diagonal/>
    </border>
    <border diagonalUp="false" diagonalDown="false">
      <left/>
      <right style="thin">
        <color rgb="FFA6A6A6"/>
      </right>
      <top/>
      <bottom style="thin">
        <color rgb="FFB7C9D6"/>
      </bottom>
      <diagonal/>
    </border>
    <border diagonalUp="false" diagonalDown="false">
      <left style="thin">
        <color rgb="FFB7C9D6"/>
      </left>
      <right/>
      <top style="thin">
        <color rgb="FFB7C9D6"/>
      </top>
      <bottom/>
      <diagonal/>
    </border>
    <border diagonalUp="false" diagonalDown="false">
      <left/>
      <right style="thin">
        <color rgb="FFB7C9D6"/>
      </right>
      <top style="thin">
        <color rgb="FFB7C9D6"/>
      </top>
      <bottom/>
      <diagonal/>
    </border>
    <border diagonalUp="false" diagonalDown="false">
      <left/>
      <right style="thin">
        <color rgb="FFA6A6A6"/>
      </right>
      <top style="thin">
        <color rgb="FFB7C9D6"/>
      </top>
      <bottom style="thin">
        <color rgb="FFB7C9D6"/>
      </bottom>
      <diagonal/>
    </border>
    <border diagonalUp="false" diagonalDown="false">
      <left style="thin">
        <color rgb="FFB7C9D6"/>
      </left>
      <right/>
      <top/>
      <bottom/>
      <diagonal/>
    </border>
    <border diagonalUp="false" diagonalDown="false">
      <left/>
      <right style="thin">
        <color rgb="FFB7C9D6"/>
      </right>
      <top/>
      <bottom/>
      <diagonal/>
    </border>
    <border diagonalUp="false" diagonalDown="false">
      <left style="thin">
        <color rgb="FFB7C9D6"/>
      </left>
      <right/>
      <top/>
      <bottom style="thin">
        <color rgb="FFB7C9D6"/>
      </bottom>
      <diagonal/>
    </border>
    <border diagonalUp="false" diagonalDown="false">
      <left/>
      <right style="thin">
        <color rgb="FFB7C9D6"/>
      </right>
      <top/>
      <bottom style="thin">
        <color rgb="FFB7C9D6"/>
      </bottom>
      <diagonal/>
    </border>
    <border diagonalUp="false" diagonalDown="false">
      <left style="thin">
        <color rgb="FFB7C9D6"/>
      </left>
      <right/>
      <top style="thin">
        <color rgb="FFB7C9D6"/>
      </top>
      <bottom style="thin">
        <color rgb="FFB7C9D6"/>
      </bottom>
      <diagonal/>
    </border>
    <border diagonalUp="false" diagonalDown="false">
      <left/>
      <right style="thin">
        <color rgb="FFB7C9D6"/>
      </right>
      <top style="thin">
        <color rgb="FFB7C9D6"/>
      </top>
      <bottom style="thin">
        <color rgb="FFB7C9D6"/>
      </bottom>
      <diagonal/>
    </border>
    <border diagonalUp="false" diagonalDown="false">
      <left/>
      <right/>
      <top style="thin"/>
      <bottom style="double"/>
      <diagonal/>
    </border>
    <border diagonalUp="false" diagonalDown="false">
      <left/>
      <right style="thin">
        <color rgb="FFA6A6A6"/>
      </right>
      <top style="thin"/>
      <bottom style="double"/>
      <diagonal/>
    </border>
    <border diagonalUp="false" diagonalDown="false">
      <left/>
      <right/>
      <top/>
      <bottom style="thin">
        <color rgb="FF1F4E78"/>
      </bottom>
      <diagonal/>
    </border>
    <border diagonalUp="false" diagonalDown="false">
      <left/>
      <right/>
      <top/>
      <bottom style="thin">
        <color rgb="FFA6B7C9"/>
      </bottom>
      <diagonal/>
    </border>
    <border diagonalUp="false" diagonalDown="false">
      <left/>
      <right/>
      <top style="medium">
        <color rgb="FF1F4E78"/>
      </top>
      <bottom style="thin">
        <color rgb="FFB7C9D6"/>
      </bottom>
      <diagonal/>
    </border>
    <border diagonalUp="false" diagonalDown="false">
      <left style="medium">
        <color rgb="FF1F4E78"/>
      </left>
      <right style="medium">
        <color rgb="FF1F4E78"/>
      </right>
      <top style="medium">
        <color rgb="FF1F4E78"/>
      </top>
      <bottom style="medium">
        <color rgb="FF1F4E78"/>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7" fontId="4" fillId="0" borderId="0" applyFont="true" applyBorder="false" applyAlignment="false" applyProtection="false"/>
  </cellStyleXfs>
  <cellXfs count="20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4" applyFont="true" applyBorder="true" applyAlignment="true" applyProtection="false">
      <alignment horizontal="general" vertical="center" textRotation="0" wrapText="true" indent="0" shrinkToFit="false"/>
      <protection locked="true" hidden="false"/>
    </xf>
    <xf numFmtId="164" fontId="6" fillId="3" borderId="0" xfId="24" applyFont="true" applyBorder="true" applyAlignment="true" applyProtection="false">
      <alignment horizontal="general" vertical="center" textRotation="0" wrapText="true" indent="0" shrinkToFit="false"/>
      <protection locked="true" hidden="false"/>
    </xf>
    <xf numFmtId="164" fontId="4" fillId="0" borderId="0" xfId="24" applyFont="true" applyBorder="true" applyAlignment="true" applyProtection="false">
      <alignment horizontal="general" vertical="center" textRotation="0" wrapText="false" indent="0" shrinkToFit="false"/>
      <protection locked="true" hidden="false"/>
    </xf>
    <xf numFmtId="164" fontId="7" fillId="4" borderId="0" xfId="24" applyFont="true" applyBorder="true" applyAlignment="true" applyProtection="false">
      <alignment horizontal="left" vertical="center" textRotation="0" wrapText="true" indent="0" shrinkToFit="false"/>
      <protection locked="true" hidden="false"/>
    </xf>
    <xf numFmtId="164" fontId="8" fillId="5" borderId="1" xfId="24" applyFont="true" applyBorder="true" applyAlignment="true" applyProtection="false">
      <alignment horizontal="center" vertical="center" textRotation="0" wrapText="true" indent="0" shrinkToFit="false"/>
      <protection locked="true" hidden="false"/>
    </xf>
    <xf numFmtId="164" fontId="8" fillId="5" borderId="2" xfId="24" applyFont="true" applyBorder="true" applyAlignment="true" applyProtection="false">
      <alignment horizontal="center" vertical="center" textRotation="0" wrapText="true" indent="0" shrinkToFit="false"/>
      <protection locked="true" hidden="false"/>
    </xf>
    <xf numFmtId="164" fontId="8" fillId="5" borderId="3" xfId="24" applyFont="true" applyBorder="true" applyAlignment="true" applyProtection="false">
      <alignment horizontal="center" vertical="center" textRotation="0" wrapText="true" indent="0" shrinkToFit="false"/>
      <protection locked="true" hidden="false"/>
    </xf>
    <xf numFmtId="164" fontId="7" fillId="2" borderId="0" xfId="24" applyFont="true" applyBorder="true" applyAlignment="true" applyProtection="false">
      <alignment horizontal="left" vertical="center" textRotation="0" wrapText="false" indent="0" shrinkToFit="false"/>
      <protection locked="true" hidden="false"/>
    </xf>
    <xf numFmtId="164" fontId="9" fillId="0" borderId="4" xfId="24" applyFont="true" applyBorder="true" applyAlignment="true" applyProtection="false">
      <alignment horizontal="general" vertical="center" textRotation="0" wrapText="true" indent="0" shrinkToFit="false"/>
      <protection locked="true" hidden="false"/>
    </xf>
    <xf numFmtId="164" fontId="9" fillId="0" borderId="5" xfId="24" applyFont="true" applyBorder="true" applyAlignment="true" applyProtection="false">
      <alignment horizontal="general" vertical="center" textRotation="0" wrapText="true" indent="0" shrinkToFit="false"/>
      <protection locked="true" hidden="false"/>
    </xf>
    <xf numFmtId="164" fontId="4" fillId="0" borderId="6" xfId="24" applyFont="true" applyBorder="true" applyAlignment="true" applyProtection="false">
      <alignment horizontal="general" vertical="center" textRotation="0" wrapText="false" indent="0" shrinkToFit="false"/>
      <protection locked="true" hidden="false"/>
    </xf>
    <xf numFmtId="164" fontId="10" fillId="0" borderId="7" xfId="24" applyFont="true" applyBorder="true" applyAlignment="true" applyProtection="false">
      <alignment horizontal="general" vertical="center" textRotation="0" wrapText="false" indent="0" shrinkToFit="false"/>
      <protection locked="true" hidden="false"/>
    </xf>
    <xf numFmtId="164" fontId="11" fillId="6" borderId="0" xfId="24" applyFont="true" applyBorder="true" applyAlignment="true" applyProtection="false">
      <alignment horizontal="general" vertical="center" textRotation="0" wrapText="false" indent="0" shrinkToFit="false"/>
      <protection locked="true" hidden="false"/>
    </xf>
    <xf numFmtId="164" fontId="4" fillId="0" borderId="8" xfId="24" applyFont="true" applyBorder="true" applyAlignment="true" applyProtection="false">
      <alignment horizontal="general" vertical="center" textRotation="0" wrapText="false" indent="0" shrinkToFit="false"/>
      <protection locked="true" hidden="false"/>
    </xf>
    <xf numFmtId="168" fontId="10" fillId="0" borderId="9" xfId="24" applyFont="true" applyBorder="true" applyAlignment="true" applyProtection="false">
      <alignment horizontal="general" vertical="center" textRotation="0" wrapText="false" indent="0" shrinkToFit="false"/>
      <protection locked="true" hidden="false"/>
    </xf>
    <xf numFmtId="169" fontId="9" fillId="0" borderId="5" xfId="24" applyFont="true" applyBorder="true" applyAlignment="true" applyProtection="false">
      <alignment horizontal="general" vertical="center" textRotation="0" wrapText="true" indent="0" shrinkToFit="false"/>
      <protection locked="true" hidden="false"/>
    </xf>
    <xf numFmtId="164" fontId="11" fillId="6" borderId="6" xfId="24" applyFont="true" applyBorder="true" applyAlignment="true" applyProtection="false">
      <alignment horizontal="general" vertical="center" textRotation="0" wrapText="false" indent="0" shrinkToFit="false"/>
      <protection locked="true" hidden="false"/>
    </xf>
    <xf numFmtId="170" fontId="10" fillId="0" borderId="9" xfId="24" applyFont="true" applyBorder="true" applyAlignment="true" applyProtection="false">
      <alignment horizontal="general" vertical="center" textRotation="0" wrapText="false" indent="0" shrinkToFit="false"/>
      <protection locked="true" hidden="false"/>
    </xf>
    <xf numFmtId="171" fontId="9" fillId="0" borderId="5" xfId="24" applyFont="true" applyBorder="true" applyAlignment="true" applyProtection="false">
      <alignment horizontal="general" vertical="center" textRotation="0" wrapText="true" indent="0" shrinkToFit="false"/>
      <protection locked="true" hidden="false"/>
    </xf>
    <xf numFmtId="164" fontId="8" fillId="5" borderId="10" xfId="24" applyFont="true" applyBorder="true" applyAlignment="true" applyProtection="false">
      <alignment horizontal="center" vertical="center" textRotation="0" wrapText="true" indent="0" shrinkToFit="false"/>
      <protection locked="true" hidden="false"/>
    </xf>
    <xf numFmtId="171" fontId="10" fillId="0" borderId="6" xfId="24" applyFont="true" applyBorder="true" applyAlignment="true" applyProtection="false">
      <alignment horizontal="general" vertical="center" textRotation="0" wrapText="false" indent="0" shrinkToFit="false"/>
      <protection locked="true" hidden="false"/>
    </xf>
    <xf numFmtId="172" fontId="9" fillId="0" borderId="5" xfId="24" applyFont="true" applyBorder="true" applyAlignment="true" applyProtection="false">
      <alignment horizontal="general" vertical="center" textRotation="0" wrapText="true" indent="0" shrinkToFit="false"/>
      <protection locked="true" hidden="false"/>
    </xf>
    <xf numFmtId="172" fontId="10" fillId="0" borderId="9" xfId="24" applyFont="true" applyBorder="true" applyAlignment="true" applyProtection="false">
      <alignment horizontal="general" vertical="center" textRotation="0" wrapText="false" indent="0" shrinkToFit="false"/>
      <protection locked="true" hidden="false"/>
    </xf>
    <xf numFmtId="171" fontId="10" fillId="0" borderId="8" xfId="24" applyFont="true" applyBorder="true" applyAlignment="true" applyProtection="false">
      <alignment horizontal="general" vertical="center" textRotation="0" wrapText="false" indent="0" shrinkToFit="false"/>
      <protection locked="true" hidden="false"/>
    </xf>
    <xf numFmtId="173" fontId="9" fillId="0" borderId="5" xfId="24" applyFont="true" applyBorder="true" applyAlignment="true" applyProtection="false">
      <alignment horizontal="general" vertical="center" textRotation="0" wrapText="true" indent="0" shrinkToFit="false"/>
      <protection locked="true" hidden="false"/>
    </xf>
    <xf numFmtId="171" fontId="10" fillId="0" borderId="9" xfId="24" applyFont="true" applyBorder="true" applyAlignment="true" applyProtection="false">
      <alignment horizontal="general" vertical="center" textRotation="0" wrapText="false" indent="0" shrinkToFit="false"/>
      <protection locked="true" hidden="false"/>
    </xf>
    <xf numFmtId="172" fontId="9" fillId="0" borderId="9" xfId="24" applyFont="true" applyBorder="true" applyAlignment="true" applyProtection="false">
      <alignment horizontal="general" vertical="center" textRotation="0" wrapText="false" indent="0" shrinkToFit="false"/>
      <protection locked="true" hidden="false"/>
    </xf>
    <xf numFmtId="164" fontId="4" fillId="0" borderId="11" xfId="24" applyFont="true" applyBorder="true" applyAlignment="true" applyProtection="false">
      <alignment horizontal="general" vertical="center" textRotation="0" wrapText="false" indent="0" shrinkToFit="false"/>
      <protection locked="true" hidden="false"/>
    </xf>
    <xf numFmtId="164" fontId="4" fillId="0" borderId="12" xfId="24" applyFont="true" applyBorder="true" applyAlignment="true" applyProtection="false">
      <alignment horizontal="general" vertical="center" textRotation="0" wrapText="false" indent="0" shrinkToFit="false"/>
      <protection locked="true" hidden="false"/>
    </xf>
    <xf numFmtId="164" fontId="4" fillId="0" borderId="13" xfId="24" applyFont="true" applyBorder="true" applyAlignment="true" applyProtection="false">
      <alignment horizontal="general" vertical="center" textRotation="0" wrapText="false" indent="0" shrinkToFit="false"/>
      <protection locked="true" hidden="false"/>
    </xf>
    <xf numFmtId="172" fontId="9" fillId="0" borderId="14" xfId="24" applyFont="true" applyBorder="true" applyAlignment="true" applyProtection="false">
      <alignment horizontal="general" vertical="center" textRotation="0" wrapText="false" indent="0" shrinkToFit="false"/>
      <protection locked="true" hidden="false"/>
    </xf>
    <xf numFmtId="164" fontId="8" fillId="5" borderId="0" xfId="24" applyFont="true" applyBorder="true" applyAlignment="true" applyProtection="false">
      <alignment horizontal="center" vertical="center" textRotation="0" wrapText="true" indent="0" shrinkToFit="false"/>
      <protection locked="true" hidden="false"/>
    </xf>
    <xf numFmtId="164" fontId="9" fillId="0" borderId="0" xfId="24" applyFont="true" applyBorder="true" applyAlignment="true" applyProtection="false">
      <alignment horizontal="general" vertical="center" textRotation="0" wrapText="true" indent="0" shrinkToFit="false"/>
      <protection locked="true" hidden="false"/>
    </xf>
    <xf numFmtId="171" fontId="9" fillId="0" borderId="0" xfId="24" applyFont="true" applyBorder="true" applyAlignment="true" applyProtection="false">
      <alignment horizontal="center" vertical="center" textRotation="0" wrapText="true" indent="0" shrinkToFit="false"/>
      <protection locked="true" hidden="false"/>
    </xf>
    <xf numFmtId="164" fontId="12" fillId="0" borderId="0" xfId="24" applyFont="true" applyBorder="true" applyAlignment="true" applyProtection="false">
      <alignment horizontal="general" vertical="center" textRotation="0" wrapText="true" indent="0" shrinkToFit="false"/>
      <protection locked="true" hidden="false"/>
    </xf>
    <xf numFmtId="171" fontId="12" fillId="0" borderId="0" xfId="24" applyFont="true" applyBorder="true" applyAlignment="true" applyProtection="false">
      <alignment horizontal="center" vertical="center" textRotation="0" wrapText="true" indent="0" shrinkToFit="false"/>
      <protection locked="true" hidden="false"/>
    </xf>
    <xf numFmtId="171" fontId="9" fillId="0" borderId="0" xfId="24" applyFont="true" applyBorder="true" applyAlignment="true" applyProtection="false">
      <alignment horizontal="general" vertical="center" textRotation="0" wrapText="true" indent="0" shrinkToFit="false"/>
      <protection locked="true" hidden="false"/>
    </xf>
    <xf numFmtId="172" fontId="9" fillId="0" borderId="0" xfId="24" applyFont="true" applyBorder="true" applyAlignment="true" applyProtection="false">
      <alignment horizontal="general" vertical="center" textRotation="0" wrapText="true" indent="0" shrinkToFit="false"/>
      <protection locked="true" hidden="false"/>
    </xf>
    <xf numFmtId="164" fontId="9" fillId="0" borderId="0" xfId="24" applyFont="true" applyBorder="true" applyAlignment="true" applyProtection="false">
      <alignment horizontal="center" vertical="center" textRotation="0" wrapText="true" indent="0" shrinkToFit="false"/>
      <protection locked="true" hidden="false"/>
    </xf>
    <xf numFmtId="174" fontId="9" fillId="0" borderId="0" xfId="24" applyFont="true" applyBorder="true" applyAlignment="true" applyProtection="false">
      <alignment horizontal="center" vertical="center" textRotation="0" wrapText="true" indent="0" shrinkToFit="false"/>
      <protection locked="true" hidden="false"/>
    </xf>
    <xf numFmtId="172" fontId="9" fillId="0" borderId="0" xfId="24" applyFont="true" applyBorder="true" applyAlignment="true" applyProtection="false">
      <alignment horizontal="center" vertical="center" textRotation="0" wrapText="true" indent="0" shrinkToFit="false"/>
      <protection locked="true" hidden="false"/>
    </xf>
    <xf numFmtId="164" fontId="13" fillId="0" borderId="0" xfId="24" applyFont="true" applyBorder="true" applyAlignment="true" applyProtection="false">
      <alignment horizontal="center" vertical="center" textRotation="0" wrapText="true" indent="0" shrinkToFit="false"/>
      <protection locked="true" hidden="false"/>
    </xf>
    <xf numFmtId="164" fontId="14" fillId="7" borderId="15" xfId="24" applyFont="true" applyBorder="true" applyAlignment="true" applyProtection="false">
      <alignment horizontal="left" vertical="center" textRotation="0" wrapText="true" indent="0" shrinkToFit="false"/>
      <protection locked="true" hidden="false"/>
    </xf>
    <xf numFmtId="164" fontId="7" fillId="4" borderId="16" xfId="24" applyFont="true" applyBorder="true" applyAlignment="true" applyProtection="false">
      <alignment horizontal="left" vertical="center" textRotation="0" wrapText="true" indent="0" shrinkToFit="false"/>
      <protection locked="true" hidden="false"/>
    </xf>
    <xf numFmtId="164" fontId="8" fillId="5" borderId="17" xfId="24" applyFont="true" applyBorder="true" applyAlignment="true" applyProtection="false">
      <alignment horizontal="center" vertical="center" textRotation="0" wrapText="true" indent="0" shrinkToFit="false"/>
      <protection locked="true" hidden="false"/>
    </xf>
    <xf numFmtId="164" fontId="8" fillId="5" borderId="18" xfId="24" applyFont="true" applyBorder="true" applyAlignment="true" applyProtection="false">
      <alignment horizontal="center" vertical="center" textRotation="0" wrapText="true" indent="0" shrinkToFit="false"/>
      <protection locked="true" hidden="false"/>
    </xf>
    <xf numFmtId="164" fontId="17" fillId="2" borderId="0" xfId="24" applyFont="true" applyBorder="true" applyAlignment="true" applyProtection="false">
      <alignment horizontal="left" vertical="center" textRotation="0" wrapText="true" indent="0" shrinkToFit="false"/>
      <protection locked="true" hidden="false"/>
    </xf>
    <xf numFmtId="164" fontId="9" fillId="0" borderId="6" xfId="24" applyFont="true" applyBorder="true" applyAlignment="true" applyProtection="false">
      <alignment horizontal="general" vertical="center" textRotation="0" wrapText="true" indent="0" shrinkToFit="false"/>
      <protection locked="true" hidden="false"/>
    </xf>
    <xf numFmtId="164" fontId="9" fillId="0" borderId="19" xfId="24" applyFont="true" applyBorder="true" applyAlignment="true" applyProtection="false">
      <alignment horizontal="general" vertical="center" textRotation="0" wrapText="true" indent="0" shrinkToFit="false"/>
      <protection locked="true" hidden="false"/>
    </xf>
    <xf numFmtId="164" fontId="18" fillId="0" borderId="20" xfId="24" applyFont="true" applyBorder="true" applyAlignment="true" applyProtection="false">
      <alignment horizontal="general" vertical="center" textRotation="0" wrapText="true" indent="0" shrinkToFit="false"/>
      <protection locked="true" hidden="false"/>
    </xf>
    <xf numFmtId="164" fontId="9" fillId="0" borderId="21" xfId="24" applyFont="true" applyBorder="true" applyAlignment="true" applyProtection="false">
      <alignment horizontal="general" vertical="center" textRotation="0" wrapText="true" indent="0" shrinkToFit="false"/>
      <protection locked="true" hidden="false"/>
    </xf>
    <xf numFmtId="164" fontId="9" fillId="0" borderId="8" xfId="24" applyFont="true" applyBorder="true" applyAlignment="true" applyProtection="false">
      <alignment horizontal="general" vertical="center" textRotation="0" wrapText="true" indent="0" shrinkToFit="false"/>
      <protection locked="true" hidden="false"/>
    </xf>
    <xf numFmtId="164" fontId="9" fillId="0" borderId="22" xfId="24" applyFont="true" applyBorder="true" applyAlignment="true" applyProtection="false">
      <alignment horizontal="general" vertical="center" textRotation="0" wrapText="true" indent="0" shrinkToFit="false"/>
      <protection locked="true" hidden="false"/>
    </xf>
    <xf numFmtId="164" fontId="19" fillId="0" borderId="23" xfId="24" applyFont="true" applyBorder="true" applyAlignment="true" applyProtection="false">
      <alignment horizontal="general" vertical="center" textRotation="0" wrapText="true" indent="0" shrinkToFit="false"/>
      <protection locked="true" hidden="false"/>
    </xf>
    <xf numFmtId="164" fontId="9" fillId="0" borderId="24" xfId="24" applyFont="true" applyBorder="true" applyAlignment="true" applyProtection="false">
      <alignment horizontal="general" vertical="center" textRotation="0" wrapText="true" indent="0" shrinkToFit="false"/>
      <protection locked="true" hidden="false"/>
    </xf>
    <xf numFmtId="169" fontId="9" fillId="0" borderId="8" xfId="24" applyFont="true" applyBorder="true" applyAlignment="true" applyProtection="false">
      <alignment horizontal="general" vertical="center" textRotation="0" wrapText="true" indent="0" shrinkToFit="false"/>
      <protection locked="true" hidden="false"/>
    </xf>
    <xf numFmtId="164" fontId="20" fillId="0" borderId="25" xfId="24" applyFont="true" applyBorder="true" applyAlignment="true" applyProtection="false">
      <alignment horizontal="general" vertical="center" textRotation="0" wrapText="true" indent="0" shrinkToFit="false"/>
      <protection locked="true" hidden="false"/>
    </xf>
    <xf numFmtId="164" fontId="9" fillId="0" borderId="26" xfId="24" applyFont="true" applyBorder="true" applyAlignment="true" applyProtection="false">
      <alignment horizontal="general" vertical="center" textRotation="0" wrapText="true" indent="0" shrinkToFit="false"/>
      <protection locked="true" hidden="false"/>
    </xf>
    <xf numFmtId="164" fontId="21" fillId="0" borderId="25" xfId="24" applyFont="true" applyBorder="true" applyAlignment="true" applyProtection="false">
      <alignment horizontal="general" vertical="center" textRotation="0" wrapText="true" indent="0" shrinkToFit="false"/>
      <protection locked="true" hidden="false"/>
    </xf>
    <xf numFmtId="171" fontId="9" fillId="0" borderId="8" xfId="24" applyFont="true" applyBorder="true" applyAlignment="true" applyProtection="false">
      <alignment horizontal="general" vertical="center" textRotation="0" wrapText="true" indent="0" shrinkToFit="false"/>
      <protection locked="true" hidden="false"/>
    </xf>
    <xf numFmtId="172" fontId="9" fillId="0" borderId="8" xfId="24" applyFont="true" applyBorder="true" applyAlignment="true" applyProtection="false">
      <alignment horizontal="general" vertical="center" textRotation="0" wrapText="true" indent="0" shrinkToFit="false"/>
      <protection locked="true" hidden="false"/>
    </xf>
    <xf numFmtId="173" fontId="9" fillId="0" borderId="8" xfId="24" applyFont="true" applyBorder="true" applyAlignment="true" applyProtection="false">
      <alignment horizontal="general" vertical="center" textRotation="0" wrapText="true" indent="0" shrinkToFit="false"/>
      <protection locked="true" hidden="false"/>
    </xf>
    <xf numFmtId="164" fontId="22" fillId="7" borderId="15" xfId="24" applyFont="true" applyBorder="true" applyAlignment="true" applyProtection="false">
      <alignment horizontal="general" vertical="center" textRotation="0" wrapText="true" indent="0" shrinkToFit="false"/>
      <protection locked="true" hidden="false"/>
    </xf>
    <xf numFmtId="170" fontId="9" fillId="0" borderId="8" xfId="24" applyFont="true" applyBorder="true" applyAlignment="true" applyProtection="false">
      <alignment horizontal="general" vertical="center" textRotation="0" wrapText="true" indent="0" shrinkToFit="false"/>
      <protection locked="true" hidden="false"/>
    </xf>
    <xf numFmtId="175" fontId="9" fillId="0" borderId="8" xfId="24" applyFont="true" applyBorder="true" applyAlignment="true" applyProtection="false">
      <alignment horizontal="general" vertical="center" textRotation="0" wrapText="true" indent="0" shrinkToFit="false"/>
      <protection locked="true" hidden="false"/>
    </xf>
    <xf numFmtId="174" fontId="10" fillId="0" borderId="8" xfId="24" applyFont="true" applyBorder="true" applyAlignment="true" applyProtection="false">
      <alignment horizontal="general" vertical="center" textRotation="0" wrapText="true" indent="0" shrinkToFit="false"/>
      <protection locked="true" hidden="false"/>
    </xf>
    <xf numFmtId="164" fontId="7" fillId="4" borderId="16" xfId="24" applyFont="true" applyBorder="true" applyAlignment="true" applyProtection="false">
      <alignment horizontal="left" vertical="center" textRotation="0" wrapText="false" indent="0" shrinkToFit="false"/>
      <protection locked="true" hidden="false"/>
    </xf>
    <xf numFmtId="164" fontId="8" fillId="5" borderId="10" xfId="24" applyFont="true" applyBorder="true" applyAlignment="true" applyProtection="false">
      <alignment horizontal="center" vertical="center" textRotation="0" wrapText="false" indent="0" shrinkToFit="false"/>
      <protection locked="true" hidden="false"/>
    </xf>
    <xf numFmtId="169" fontId="9" fillId="0" borderId="0" xfId="24" applyFont="true" applyBorder="true" applyAlignment="true" applyProtection="false">
      <alignment horizontal="general" vertical="center" textRotation="0" wrapText="false" indent="0" shrinkToFit="false"/>
      <protection locked="true" hidden="false"/>
    </xf>
    <xf numFmtId="164" fontId="20" fillId="8" borderId="27" xfId="24" applyFont="true" applyBorder="true" applyAlignment="true" applyProtection="false">
      <alignment horizontal="center" vertical="center" textRotation="0" wrapText="true" indent="0" shrinkToFit="false"/>
      <protection locked="true" hidden="false"/>
    </xf>
    <xf numFmtId="164" fontId="20" fillId="8" borderId="8" xfId="24" applyFont="true" applyBorder="true" applyAlignment="true" applyProtection="false">
      <alignment horizontal="center" vertical="center" textRotation="0" wrapText="true" indent="0" shrinkToFit="false"/>
      <protection locked="true" hidden="false"/>
    </xf>
    <xf numFmtId="164" fontId="20" fillId="8" borderId="28" xfId="24" applyFont="true" applyBorder="true" applyAlignment="true" applyProtection="false">
      <alignment horizontal="center" vertical="center" textRotation="0" wrapText="true" indent="0" shrinkToFit="false"/>
      <protection locked="true" hidden="false"/>
    </xf>
    <xf numFmtId="173" fontId="9" fillId="0" borderId="6" xfId="24" applyFont="true" applyBorder="true" applyAlignment="true" applyProtection="false">
      <alignment horizontal="general" vertical="center" textRotation="0" wrapText="true" indent="0" shrinkToFit="false"/>
      <protection locked="true" hidden="false"/>
    </xf>
    <xf numFmtId="173" fontId="9" fillId="6" borderId="6" xfId="24" applyFont="true" applyBorder="true" applyAlignment="true" applyProtection="false">
      <alignment horizontal="general" vertical="center" textRotation="0" wrapText="true" indent="0" shrinkToFit="false"/>
      <protection locked="true" hidden="false"/>
    </xf>
    <xf numFmtId="173" fontId="9" fillId="6" borderId="8" xfId="24" applyFont="true" applyBorder="true" applyAlignment="true" applyProtection="false">
      <alignment horizontal="general" vertical="center" textRotation="0" wrapText="true" indent="0" shrinkToFit="false"/>
      <protection locked="true" hidden="false"/>
    </xf>
    <xf numFmtId="164" fontId="12" fillId="0" borderId="29" xfId="24" applyFont="true" applyBorder="true" applyAlignment="true" applyProtection="false">
      <alignment horizontal="general" vertical="center" textRotation="0" wrapText="true" indent="0" shrinkToFit="false"/>
      <protection locked="true" hidden="false"/>
    </xf>
    <xf numFmtId="173" fontId="12" fillId="0" borderId="29" xfId="24" applyFont="true" applyBorder="true" applyAlignment="true" applyProtection="false">
      <alignment horizontal="general" vertical="center" textRotation="0" wrapText="true" indent="0" shrinkToFit="false"/>
      <protection locked="true" hidden="false"/>
    </xf>
    <xf numFmtId="173" fontId="12" fillId="6" borderId="29" xfId="24" applyFont="true" applyBorder="true" applyAlignment="true" applyProtection="false">
      <alignment horizontal="general" vertical="center" textRotation="0" wrapText="true" indent="0" shrinkToFit="false"/>
      <protection locked="true" hidden="false"/>
    </xf>
    <xf numFmtId="173" fontId="10" fillId="0" borderId="6" xfId="24" applyFont="true" applyBorder="true" applyAlignment="true" applyProtection="false">
      <alignment horizontal="general" vertical="center" textRotation="0" wrapText="true" indent="0" shrinkToFit="false"/>
      <protection locked="true" hidden="false"/>
    </xf>
    <xf numFmtId="173" fontId="10" fillId="0" borderId="8" xfId="24" applyFont="true" applyBorder="true" applyAlignment="true" applyProtection="false">
      <alignment horizontal="general" vertical="center" textRotation="0" wrapText="true" indent="0" shrinkToFit="false"/>
      <protection locked="true" hidden="false"/>
    </xf>
    <xf numFmtId="176" fontId="10" fillId="0" borderId="8" xfId="24" applyFont="true" applyBorder="true" applyAlignment="true" applyProtection="false">
      <alignment horizontal="general" vertical="center" textRotation="0" wrapText="true" indent="0" shrinkToFit="false"/>
      <protection locked="true" hidden="false"/>
    </xf>
    <xf numFmtId="177" fontId="10" fillId="0" borderId="8" xfId="24" applyFont="true" applyBorder="true" applyAlignment="true" applyProtection="false">
      <alignment horizontal="general" vertical="center" textRotation="0" wrapText="true" indent="0" shrinkToFit="false"/>
      <protection locked="true" hidden="false"/>
    </xf>
    <xf numFmtId="172" fontId="23" fillId="0" borderId="6" xfId="24" applyFont="true" applyBorder="true" applyAlignment="true" applyProtection="false">
      <alignment horizontal="general" vertical="center" textRotation="0" wrapText="false" indent="0" shrinkToFit="false"/>
      <protection locked="true" hidden="false"/>
    </xf>
    <xf numFmtId="172" fontId="9" fillId="0" borderId="6" xfId="24" applyFont="true" applyBorder="true" applyAlignment="true" applyProtection="false">
      <alignment horizontal="general" vertical="center" textRotation="0" wrapText="false" indent="0" shrinkToFit="false"/>
      <protection locked="true" hidden="false"/>
    </xf>
    <xf numFmtId="172" fontId="9" fillId="6" borderId="6" xfId="24" applyFont="true" applyBorder="true" applyAlignment="true" applyProtection="false">
      <alignment horizontal="general" vertical="center" textRotation="0" wrapText="false" indent="0" shrinkToFit="false"/>
      <protection locked="true" hidden="false"/>
    </xf>
    <xf numFmtId="172" fontId="9" fillId="0" borderId="8" xfId="24" applyFont="true" applyBorder="true" applyAlignment="true" applyProtection="false">
      <alignment horizontal="general" vertical="center" textRotation="0" wrapText="false" indent="0" shrinkToFit="false"/>
      <protection locked="true" hidden="false"/>
    </xf>
    <xf numFmtId="172" fontId="9" fillId="6" borderId="8" xfId="24" applyFont="true" applyBorder="true" applyAlignment="true" applyProtection="false">
      <alignment horizontal="general" vertical="center" textRotation="0" wrapText="false" indent="0" shrinkToFit="false"/>
      <protection locked="true" hidden="false"/>
    </xf>
    <xf numFmtId="168" fontId="9" fillId="0" borderId="8" xfId="24" applyFont="true" applyBorder="true" applyAlignment="true" applyProtection="false">
      <alignment horizontal="general" vertical="center" textRotation="0" wrapText="false" indent="0" shrinkToFit="false"/>
      <protection locked="true" hidden="false"/>
    </xf>
    <xf numFmtId="168" fontId="9" fillId="6" borderId="8" xfId="24" applyFont="true" applyBorder="true" applyAlignment="true" applyProtection="false">
      <alignment horizontal="general" vertical="center" textRotation="0" wrapText="false" indent="0" shrinkToFit="false"/>
      <protection locked="true" hidden="false"/>
    </xf>
    <xf numFmtId="173" fontId="9" fillId="0" borderId="8" xfId="24" applyFont="true" applyBorder="true" applyAlignment="true" applyProtection="false">
      <alignment horizontal="general" vertical="center" textRotation="0" wrapText="false" indent="0" shrinkToFit="false"/>
      <protection locked="true" hidden="false"/>
    </xf>
    <xf numFmtId="173" fontId="9" fillId="6" borderId="8" xfId="24" applyFont="true" applyBorder="true" applyAlignment="true" applyProtection="false">
      <alignment horizontal="general" vertical="center" textRotation="0" wrapText="false" indent="0" shrinkToFit="false"/>
      <protection locked="true" hidden="false"/>
    </xf>
    <xf numFmtId="176" fontId="24" fillId="0" borderId="0" xfId="24" applyFont="true" applyBorder="true" applyAlignment="true" applyProtection="false">
      <alignment horizontal="general" vertical="center" textRotation="0" wrapText="true" indent="0" shrinkToFit="false"/>
      <protection locked="true" hidden="false"/>
    </xf>
    <xf numFmtId="176" fontId="9" fillId="0" borderId="0" xfId="24" applyFont="true" applyBorder="true" applyAlignment="true" applyProtection="false">
      <alignment horizontal="general" vertical="center" textRotation="0" wrapText="true" indent="0" shrinkToFit="false"/>
      <protection locked="true" hidden="false"/>
    </xf>
    <xf numFmtId="176" fontId="12" fillId="0" borderId="0" xfId="24" applyFont="true" applyBorder="true" applyAlignment="true" applyProtection="false">
      <alignment horizontal="general" vertical="center" textRotation="0" wrapText="true" indent="0" shrinkToFit="false"/>
      <protection locked="true" hidden="false"/>
    </xf>
    <xf numFmtId="173" fontId="9" fillId="0" borderId="0" xfId="24" applyFont="true" applyBorder="true" applyAlignment="true" applyProtection="false">
      <alignment horizontal="general" vertical="center" textRotation="0" wrapText="true" indent="0" shrinkToFit="false"/>
      <protection locked="true" hidden="false"/>
    </xf>
    <xf numFmtId="173" fontId="12" fillId="0" borderId="0" xfId="24" applyFont="true" applyBorder="true" applyAlignment="true" applyProtection="false">
      <alignment horizontal="general" vertical="center" textRotation="0" wrapText="true" indent="0" shrinkToFit="false"/>
      <protection locked="true" hidden="false"/>
    </xf>
    <xf numFmtId="177" fontId="9" fillId="0" borderId="0" xfId="24" applyFont="true" applyBorder="true" applyAlignment="true" applyProtection="false">
      <alignment horizontal="general" vertical="center" textRotation="0" wrapText="true" indent="0" shrinkToFit="false"/>
      <protection locked="true" hidden="false"/>
    </xf>
    <xf numFmtId="177" fontId="10" fillId="0" borderId="0" xfId="24" applyFont="true" applyBorder="true" applyAlignment="true" applyProtection="false">
      <alignment horizontal="general" vertical="center" textRotation="0" wrapText="true" indent="0" shrinkToFit="false"/>
      <protection locked="true" hidden="false"/>
    </xf>
    <xf numFmtId="164" fontId="25" fillId="0" borderId="0" xfId="24" applyFont="true" applyBorder="true" applyAlignment="true" applyProtection="false">
      <alignment horizontal="general" vertical="center" textRotation="0" wrapText="true" indent="0" shrinkToFit="false"/>
      <protection locked="true" hidden="false"/>
    </xf>
    <xf numFmtId="164" fontId="26" fillId="3" borderId="0" xfId="24" applyFont="true" applyBorder="true" applyAlignment="true" applyProtection="false">
      <alignment horizontal="left" vertical="center" textRotation="0" wrapText="true" indent="0" shrinkToFit="false"/>
      <protection locked="true" hidden="false"/>
    </xf>
    <xf numFmtId="176" fontId="24" fillId="0" borderId="6" xfId="24" applyFont="true" applyBorder="true" applyAlignment="true" applyProtection="false">
      <alignment horizontal="general" vertical="center" textRotation="0" wrapText="false" indent="0" shrinkToFit="false"/>
      <protection locked="true" hidden="false"/>
    </xf>
    <xf numFmtId="176" fontId="24" fillId="0" borderId="8" xfId="24" applyFont="true" applyBorder="true" applyAlignment="true" applyProtection="false">
      <alignment horizontal="general" vertical="center" textRotation="0" wrapText="false" indent="0" shrinkToFit="false"/>
      <protection locked="true" hidden="false"/>
    </xf>
    <xf numFmtId="178" fontId="24" fillId="0" borderId="8" xfId="24" applyFont="true" applyBorder="true" applyAlignment="true" applyProtection="false">
      <alignment horizontal="general" vertical="center" textRotation="0" wrapText="false" indent="0" shrinkToFit="false"/>
      <protection locked="true" hidden="false"/>
    </xf>
    <xf numFmtId="164" fontId="12" fillId="6" borderId="8" xfId="24" applyFont="true" applyBorder="true" applyAlignment="true" applyProtection="false">
      <alignment horizontal="general" vertical="center" textRotation="0" wrapText="false" indent="0" shrinkToFit="false"/>
      <protection locked="true" hidden="false"/>
    </xf>
    <xf numFmtId="176" fontId="12" fillId="6" borderId="8" xfId="24" applyFont="true" applyBorder="true" applyAlignment="true" applyProtection="false">
      <alignment horizontal="general" vertical="center" textRotation="0" wrapText="false" indent="0" shrinkToFit="false"/>
      <protection locked="true" hidden="false"/>
    </xf>
    <xf numFmtId="169" fontId="9" fillId="0" borderId="6" xfId="24" applyFont="true" applyBorder="true" applyAlignment="true" applyProtection="false">
      <alignment horizontal="general" vertical="center" textRotation="0" wrapText="true" indent="0" shrinkToFit="false"/>
      <protection locked="true" hidden="false"/>
    </xf>
    <xf numFmtId="174" fontId="9" fillId="8" borderId="6" xfId="24" applyFont="true" applyBorder="true" applyAlignment="true" applyProtection="false">
      <alignment horizontal="general" vertical="center" textRotation="0" wrapText="true" indent="0" shrinkToFit="false"/>
      <protection locked="true" hidden="false"/>
    </xf>
    <xf numFmtId="171" fontId="9" fillId="0" borderId="6" xfId="24" applyFont="true" applyBorder="true" applyAlignment="true" applyProtection="false">
      <alignment horizontal="general" vertical="center" textRotation="0" wrapText="true" indent="0" shrinkToFit="false"/>
      <protection locked="true" hidden="false"/>
    </xf>
    <xf numFmtId="172" fontId="9" fillId="0" borderId="6" xfId="24" applyFont="true" applyBorder="true" applyAlignment="true" applyProtection="false">
      <alignment horizontal="general" vertical="center" textRotation="0" wrapText="true" indent="0" shrinkToFit="false"/>
      <protection locked="true" hidden="false"/>
    </xf>
    <xf numFmtId="164" fontId="9" fillId="6" borderId="6" xfId="24" applyFont="true" applyBorder="true" applyAlignment="true" applyProtection="false">
      <alignment horizontal="general" vertical="center" textRotation="0" wrapText="true" indent="0" shrinkToFit="false"/>
      <protection locked="true" hidden="false"/>
    </xf>
    <xf numFmtId="164" fontId="20" fillId="0" borderId="6" xfId="24" applyFont="true" applyBorder="true" applyAlignment="true" applyProtection="false">
      <alignment horizontal="general" vertical="center" textRotation="0" wrapText="false" indent="0" shrinkToFit="false"/>
      <protection locked="true" hidden="false"/>
    </xf>
    <xf numFmtId="174" fontId="9" fillId="8" borderId="8" xfId="24" applyFont="true" applyBorder="true" applyAlignment="true" applyProtection="false">
      <alignment horizontal="general" vertical="center" textRotation="0" wrapText="true" indent="0" shrinkToFit="false"/>
      <protection locked="true" hidden="false"/>
    </xf>
    <xf numFmtId="164" fontId="9" fillId="6" borderId="8" xfId="24" applyFont="true" applyBorder="true" applyAlignment="true" applyProtection="false">
      <alignment horizontal="general" vertical="center" textRotation="0" wrapText="true" indent="0" shrinkToFit="false"/>
      <protection locked="true" hidden="false"/>
    </xf>
    <xf numFmtId="164" fontId="20" fillId="0" borderId="8" xfId="24" applyFont="true" applyBorder="true" applyAlignment="true" applyProtection="false">
      <alignment horizontal="general" vertical="center" textRotation="0" wrapText="false" indent="0" shrinkToFit="false"/>
      <protection locked="true" hidden="false"/>
    </xf>
    <xf numFmtId="164" fontId="9" fillId="7" borderId="8" xfId="24" applyFont="true" applyBorder="true" applyAlignment="true" applyProtection="false">
      <alignment horizontal="general" vertical="center" textRotation="0" wrapText="true" indent="0" shrinkToFit="false"/>
      <protection locked="true" hidden="false"/>
    </xf>
    <xf numFmtId="164" fontId="20" fillId="0" borderId="0" xfId="24" applyFont="true" applyBorder="true" applyAlignment="true" applyProtection="false">
      <alignment horizontal="general" vertical="center" textRotation="0" wrapText="false" indent="0" shrinkToFit="false"/>
      <protection locked="true" hidden="false"/>
    </xf>
    <xf numFmtId="164" fontId="8" fillId="7" borderId="17" xfId="24" applyFont="true" applyBorder="true" applyAlignment="true" applyProtection="false">
      <alignment horizontal="center" vertical="center" textRotation="0" wrapText="true" indent="0" shrinkToFit="false"/>
      <protection locked="true" hidden="false"/>
    </xf>
    <xf numFmtId="179" fontId="9" fillId="0" borderId="6" xfId="24" applyFont="true" applyBorder="true" applyAlignment="true" applyProtection="false">
      <alignment horizontal="general" vertical="center" textRotation="0" wrapText="true" indent="0" shrinkToFit="false"/>
      <protection locked="true" hidden="false"/>
    </xf>
    <xf numFmtId="180" fontId="9" fillId="0" borderId="6" xfId="24" applyFont="true" applyBorder="true" applyAlignment="true" applyProtection="false">
      <alignment horizontal="general" vertical="center" textRotation="0" wrapText="true" indent="0" shrinkToFit="false"/>
      <protection locked="true" hidden="false"/>
    </xf>
    <xf numFmtId="164" fontId="9" fillId="7" borderId="6" xfId="24" applyFont="true" applyBorder="true" applyAlignment="true" applyProtection="false">
      <alignment horizontal="general" vertical="center" textRotation="0" wrapText="true" indent="0" shrinkToFit="false"/>
      <protection locked="true" hidden="false"/>
    </xf>
    <xf numFmtId="179" fontId="9" fillId="0" borderId="8" xfId="24" applyFont="true" applyBorder="true" applyAlignment="true" applyProtection="false">
      <alignment horizontal="general" vertical="center" textRotation="0" wrapText="true" indent="0" shrinkToFit="false"/>
      <protection locked="true" hidden="false"/>
    </xf>
    <xf numFmtId="180" fontId="9" fillId="0" borderId="8" xfId="24" applyFont="true" applyBorder="true" applyAlignment="true" applyProtection="false">
      <alignment horizontal="general" vertical="center" textRotation="0" wrapText="true" indent="0" shrinkToFit="false"/>
      <protection locked="true" hidden="false"/>
    </xf>
    <xf numFmtId="181" fontId="24" fillId="0" borderId="6" xfId="24" applyFont="true" applyBorder="true" applyAlignment="true" applyProtection="false">
      <alignment horizontal="general" vertical="center" textRotation="0" wrapText="true" indent="0" shrinkToFit="false"/>
      <protection locked="true" hidden="false"/>
    </xf>
    <xf numFmtId="181" fontId="9" fillId="8" borderId="6" xfId="24" applyFont="true" applyBorder="true" applyAlignment="true" applyProtection="false">
      <alignment horizontal="general" vertical="center" textRotation="0" wrapText="true" indent="0" shrinkToFit="false"/>
      <protection locked="true" hidden="false"/>
    </xf>
    <xf numFmtId="181" fontId="24" fillId="0" borderId="8" xfId="24" applyFont="true" applyBorder="true" applyAlignment="true" applyProtection="false">
      <alignment horizontal="general" vertical="center" textRotation="0" wrapText="true" indent="0" shrinkToFit="false"/>
      <protection locked="true" hidden="false"/>
    </xf>
    <xf numFmtId="181" fontId="9" fillId="8" borderId="8" xfId="24" applyFont="true" applyBorder="true" applyAlignment="true" applyProtection="false">
      <alignment horizontal="general" vertical="center" textRotation="0" wrapText="true" indent="0" shrinkToFit="false"/>
      <protection locked="true" hidden="false"/>
    </xf>
    <xf numFmtId="181" fontId="12" fillId="0" borderId="29" xfId="24" applyFont="true" applyBorder="true" applyAlignment="true" applyProtection="false">
      <alignment horizontal="general" vertical="center" textRotation="0" wrapText="true" indent="0" shrinkToFit="false"/>
      <protection locked="true" hidden="false"/>
    </xf>
    <xf numFmtId="181" fontId="12" fillId="8" borderId="29" xfId="24" applyFont="true" applyBorder="true" applyAlignment="true" applyProtection="false">
      <alignment horizontal="general" vertical="center" textRotation="0" wrapText="true" indent="0" shrinkToFit="false"/>
      <protection locked="true" hidden="false"/>
    </xf>
    <xf numFmtId="164" fontId="12" fillId="0" borderId="30" xfId="24" applyFont="true" applyBorder="true" applyAlignment="true" applyProtection="false">
      <alignment horizontal="general" vertical="center" textRotation="0" wrapText="true" indent="0" shrinkToFit="false"/>
      <protection locked="true" hidden="false"/>
    </xf>
    <xf numFmtId="164" fontId="10" fillId="0" borderId="6" xfId="24" applyFont="true" applyBorder="true" applyAlignment="true" applyProtection="false">
      <alignment horizontal="general" vertical="center" textRotation="0" wrapText="true" indent="0" shrinkToFit="false"/>
      <protection locked="true" hidden="false"/>
    </xf>
    <xf numFmtId="174" fontId="10" fillId="0" borderId="6" xfId="24" applyFont="true" applyBorder="true" applyAlignment="true" applyProtection="false">
      <alignment horizontal="general" vertical="center" textRotation="0" wrapText="true" indent="0" shrinkToFit="false"/>
      <protection locked="true" hidden="false"/>
    </xf>
    <xf numFmtId="172" fontId="10" fillId="0" borderId="6" xfId="24" applyFont="true" applyBorder="true" applyAlignment="true" applyProtection="false">
      <alignment horizontal="general" vertical="center" textRotation="0" wrapText="true" indent="0" shrinkToFit="false"/>
      <protection locked="true" hidden="false"/>
    </xf>
    <xf numFmtId="164" fontId="10" fillId="0" borderId="8" xfId="24" applyFont="true" applyBorder="true" applyAlignment="true" applyProtection="false">
      <alignment horizontal="general" vertical="center" textRotation="0" wrapText="true" indent="0" shrinkToFit="false"/>
      <protection locked="true" hidden="false"/>
    </xf>
    <xf numFmtId="172" fontId="10" fillId="0" borderId="8" xfId="24" applyFont="true" applyBorder="true" applyAlignment="true" applyProtection="false">
      <alignment horizontal="general" vertical="center" textRotation="0" wrapText="true" indent="0" shrinkToFit="false"/>
      <protection locked="true" hidden="false"/>
    </xf>
    <xf numFmtId="168" fontId="9" fillId="0" borderId="6" xfId="24" applyFont="true" applyBorder="true" applyAlignment="true" applyProtection="false">
      <alignment horizontal="general" vertical="center" textRotation="0" wrapText="true" indent="0" shrinkToFit="false"/>
      <protection locked="true" hidden="false"/>
    </xf>
    <xf numFmtId="168" fontId="9" fillId="6" borderId="6" xfId="24" applyFont="true" applyBorder="true" applyAlignment="true" applyProtection="false">
      <alignment horizontal="general" vertical="center" textRotation="0" wrapText="true" indent="0" shrinkToFit="false"/>
      <protection locked="true" hidden="false"/>
    </xf>
    <xf numFmtId="168" fontId="9" fillId="0" borderId="8" xfId="24" applyFont="true" applyBorder="true" applyAlignment="true" applyProtection="false">
      <alignment horizontal="general" vertical="center" textRotation="0" wrapText="true" indent="0" shrinkToFit="false"/>
      <protection locked="true" hidden="false"/>
    </xf>
    <xf numFmtId="168" fontId="9" fillId="6" borderId="8" xfId="24" applyFont="true" applyBorder="true" applyAlignment="true" applyProtection="false">
      <alignment horizontal="general" vertical="center" textRotation="0" wrapText="true" indent="0" shrinkToFit="false"/>
      <protection locked="true" hidden="false"/>
    </xf>
    <xf numFmtId="174" fontId="9" fillId="0" borderId="6" xfId="24" applyFont="true" applyBorder="true" applyAlignment="true" applyProtection="false">
      <alignment horizontal="general" vertical="center" textRotation="0" wrapText="true" indent="0" shrinkToFit="false"/>
      <protection locked="true" hidden="false"/>
    </xf>
    <xf numFmtId="172" fontId="9" fillId="0" borderId="19" xfId="24" applyFont="true" applyBorder="true" applyAlignment="true" applyProtection="false">
      <alignment horizontal="general" vertical="center" textRotation="0" wrapText="true" indent="0" shrinkToFit="false"/>
      <protection locked="true" hidden="false"/>
    </xf>
    <xf numFmtId="174" fontId="9" fillId="0" borderId="8" xfId="24" applyFont="true" applyBorder="true" applyAlignment="true" applyProtection="false">
      <alignment horizontal="general" vertical="center" textRotation="0" wrapText="true" indent="0" shrinkToFit="false"/>
      <protection locked="true" hidden="false"/>
    </xf>
    <xf numFmtId="172" fontId="9" fillId="0" borderId="22" xfId="24" applyFont="true" applyBorder="true" applyAlignment="true" applyProtection="false">
      <alignment horizontal="general" vertical="center" textRotation="0" wrapText="true" indent="0" shrinkToFit="false"/>
      <protection locked="true" hidden="false"/>
    </xf>
    <xf numFmtId="174" fontId="9" fillId="6" borderId="8" xfId="24" applyFont="true" applyBorder="true" applyAlignment="true" applyProtection="false">
      <alignment horizontal="general" vertical="center" textRotation="0" wrapText="true" indent="0" shrinkToFit="false"/>
      <protection locked="true" hidden="false"/>
    </xf>
    <xf numFmtId="172" fontId="9" fillId="6" borderId="22" xfId="24" applyFont="true" applyBorder="true" applyAlignment="true" applyProtection="false">
      <alignment horizontal="general" vertical="center" textRotation="0" wrapText="true" indent="0" shrinkToFit="false"/>
      <protection locked="true" hidden="false"/>
    </xf>
    <xf numFmtId="164" fontId="12" fillId="5" borderId="31" xfId="24" applyFont="true" applyBorder="true" applyAlignment="true" applyProtection="false">
      <alignment horizontal="center" vertical="center" textRotation="0" wrapText="true" indent="0" shrinkToFit="false"/>
      <protection locked="true" hidden="false"/>
    </xf>
    <xf numFmtId="182" fontId="9" fillId="0" borderId="0" xfId="24" applyFont="true" applyBorder="true" applyAlignment="true" applyProtection="false">
      <alignment horizontal="general" vertical="center" textRotation="0" wrapText="true" indent="0" shrinkToFit="false"/>
      <protection locked="true" hidden="false"/>
    </xf>
    <xf numFmtId="174" fontId="12" fillId="0" borderId="29" xfId="24" applyFont="true" applyBorder="true" applyAlignment="true" applyProtection="false">
      <alignment horizontal="general" vertical="center" textRotation="0" wrapText="true" indent="0" shrinkToFit="false"/>
      <protection locked="true" hidden="false"/>
    </xf>
    <xf numFmtId="172" fontId="12" fillId="0" borderId="30" xfId="24" applyFont="true" applyBorder="true" applyAlignment="true" applyProtection="false">
      <alignment horizontal="general" vertical="center" textRotation="0" wrapText="true" indent="0" shrinkToFit="false"/>
      <protection locked="true" hidden="false"/>
    </xf>
    <xf numFmtId="164" fontId="9" fillId="0" borderId="32" xfId="24" applyFont="true" applyBorder="true" applyAlignment="true" applyProtection="false">
      <alignment horizontal="general" vertical="center" textRotation="0" wrapText="true" indent="0" shrinkToFit="false"/>
      <protection locked="true" hidden="false"/>
    </xf>
    <xf numFmtId="181" fontId="9" fillId="0" borderId="32" xfId="24" applyFont="true" applyBorder="true" applyAlignment="true" applyProtection="false">
      <alignment horizontal="general" vertical="center" textRotation="0" wrapText="true" indent="0" shrinkToFit="false"/>
      <protection locked="true" hidden="false"/>
    </xf>
    <xf numFmtId="164" fontId="4" fillId="0" borderId="0" xfId="24" applyFont="true" applyBorder="true" applyAlignment="true" applyProtection="false">
      <alignment horizontal="general" vertical="bottom" textRotation="0" wrapText="true" indent="0" shrinkToFit="false"/>
      <protection locked="true" hidden="false"/>
    </xf>
    <xf numFmtId="183" fontId="9" fillId="0" borderId="6" xfId="24" applyFont="true" applyBorder="true" applyAlignment="true" applyProtection="false">
      <alignment horizontal="general" vertical="center" textRotation="0" wrapText="false" indent="0" shrinkToFit="false"/>
      <protection locked="true" hidden="false"/>
    </xf>
    <xf numFmtId="183" fontId="9" fillId="0" borderId="8" xfId="24" applyFont="true" applyBorder="true" applyAlignment="true" applyProtection="false">
      <alignment horizontal="general" vertical="center" textRotation="0" wrapText="false" indent="0" shrinkToFit="false"/>
      <protection locked="true" hidden="false"/>
    </xf>
    <xf numFmtId="172" fontId="12" fillId="0" borderId="0" xfId="24" applyFont="true" applyBorder="true" applyAlignment="true" applyProtection="false">
      <alignment horizontal="general" vertical="center" textRotation="0" wrapText="true" indent="0" shrinkToFit="false"/>
      <protection locked="true" hidden="false"/>
    </xf>
    <xf numFmtId="171" fontId="10" fillId="0" borderId="8" xfId="24" applyFont="true" applyBorder="true" applyAlignment="true" applyProtection="false">
      <alignment horizontal="general" vertical="center" textRotation="0" wrapText="true" indent="0" shrinkToFit="false"/>
      <protection locked="true" hidden="false"/>
    </xf>
    <xf numFmtId="184" fontId="9" fillId="0" borderId="6" xfId="24" applyFont="true" applyBorder="true" applyAlignment="true" applyProtection="false">
      <alignment horizontal="general" vertical="center" textRotation="0" wrapText="true" indent="0" shrinkToFit="false"/>
      <protection locked="true" hidden="false"/>
    </xf>
    <xf numFmtId="171" fontId="9" fillId="6" borderId="8" xfId="24" applyFont="true" applyBorder="true" applyAlignment="true" applyProtection="false">
      <alignment horizontal="general" vertical="center" textRotation="0" wrapText="true" indent="0" shrinkToFit="false"/>
      <protection locked="true" hidden="false"/>
    </xf>
    <xf numFmtId="184" fontId="9" fillId="6" borderId="8" xfId="24" applyFont="true" applyBorder="true" applyAlignment="true" applyProtection="false">
      <alignment horizontal="general" vertical="center" textRotation="0" wrapText="true" indent="0" shrinkToFit="false"/>
      <protection locked="true" hidden="false"/>
    </xf>
    <xf numFmtId="172" fontId="9" fillId="6" borderId="8" xfId="24" applyFont="true" applyBorder="true" applyAlignment="true" applyProtection="false">
      <alignment horizontal="general" vertical="center" textRotation="0" wrapText="true" indent="0" shrinkToFit="false"/>
      <protection locked="true" hidden="false"/>
    </xf>
    <xf numFmtId="184" fontId="9" fillId="0" borderId="8" xfId="24" applyFont="true" applyBorder="true" applyAlignment="true" applyProtection="false">
      <alignment horizontal="general" vertical="center" textRotation="0" wrapText="true" indent="0" shrinkToFit="false"/>
      <protection locked="true" hidden="false"/>
    </xf>
    <xf numFmtId="173" fontId="9" fillId="0" borderId="19" xfId="24" applyFont="true" applyBorder="true" applyAlignment="true" applyProtection="false">
      <alignment horizontal="general" vertical="center" textRotation="0" wrapText="true" indent="0" shrinkToFit="false"/>
      <protection locked="true" hidden="false"/>
    </xf>
    <xf numFmtId="173" fontId="9" fillId="0" borderId="22" xfId="24" applyFont="true" applyBorder="true" applyAlignment="true" applyProtection="false">
      <alignment horizontal="general" vertical="center" textRotation="0" wrapText="true" indent="0" shrinkToFit="false"/>
      <protection locked="true" hidden="false"/>
    </xf>
    <xf numFmtId="171" fontId="9" fillId="0" borderId="22" xfId="24" applyFont="true" applyBorder="true" applyAlignment="true" applyProtection="false">
      <alignment horizontal="general" vertical="center" textRotation="0" wrapText="true" indent="0" shrinkToFit="false"/>
      <protection locked="true" hidden="false"/>
    </xf>
    <xf numFmtId="172" fontId="12" fillId="0" borderId="29" xfId="24" applyFont="true" applyBorder="true" applyAlignment="true" applyProtection="false">
      <alignment horizontal="general" vertical="center" textRotation="0" wrapText="true" indent="0" shrinkToFit="false"/>
      <protection locked="true" hidden="false"/>
    </xf>
    <xf numFmtId="164" fontId="9" fillId="6" borderId="33" xfId="24" applyFont="true" applyBorder="true" applyAlignment="true" applyProtection="false">
      <alignment horizontal="general" vertical="center" textRotation="0" wrapText="true" indent="0" shrinkToFit="false"/>
      <protection locked="true" hidden="false"/>
    </xf>
    <xf numFmtId="185" fontId="9" fillId="6" borderId="33" xfId="24" applyFont="true" applyBorder="true" applyAlignment="true" applyProtection="false">
      <alignment horizontal="general" vertical="center" textRotation="0" wrapText="true" indent="0" shrinkToFit="false"/>
      <protection locked="true" hidden="false"/>
    </xf>
    <xf numFmtId="186" fontId="9" fillId="6" borderId="8" xfId="24" applyFont="true" applyBorder="true" applyAlignment="true" applyProtection="false">
      <alignment horizontal="general" vertical="center" textRotation="0" wrapText="true" indent="0" shrinkToFit="false"/>
      <protection locked="true" hidden="false"/>
    </xf>
    <xf numFmtId="164" fontId="27" fillId="0" borderId="0" xfId="24" applyFont="true" applyBorder="true" applyAlignment="true" applyProtection="false">
      <alignment horizontal="general" vertical="center" textRotation="0" wrapText="true" indent="0" shrinkToFit="false"/>
      <protection locked="true" hidden="false"/>
    </xf>
    <xf numFmtId="174" fontId="27" fillId="0" borderId="0" xfId="24" applyFont="true" applyBorder="true" applyAlignment="true" applyProtection="false">
      <alignment horizontal="general" vertical="center" textRotation="0" wrapText="true" indent="0" shrinkToFit="false"/>
      <protection locked="true" hidden="false"/>
    </xf>
    <xf numFmtId="173" fontId="9" fillId="0" borderId="0" xfId="24" applyFont="true" applyBorder="true" applyAlignment="true" applyProtection="false">
      <alignment horizontal="center" vertical="center" textRotation="0" wrapText="true" indent="0" shrinkToFit="false"/>
      <protection locked="true" hidden="false"/>
    </xf>
    <xf numFmtId="174" fontId="9" fillId="6" borderId="0" xfId="24" applyFont="true" applyBorder="true" applyAlignment="true" applyProtection="false">
      <alignment horizontal="center" vertical="center" textRotation="0" wrapText="true" indent="0" shrinkToFit="false"/>
      <protection locked="true" hidden="false"/>
    </xf>
    <xf numFmtId="173" fontId="9" fillId="6" borderId="0" xfId="24" applyFont="true" applyBorder="true" applyAlignment="true" applyProtection="false">
      <alignment horizontal="center" vertical="center" textRotation="0" wrapText="true" indent="0" shrinkToFit="false"/>
      <protection locked="true" hidden="false"/>
    </xf>
    <xf numFmtId="171" fontId="9" fillId="6" borderId="0" xfId="24" applyFont="true" applyBorder="true" applyAlignment="true" applyProtection="false">
      <alignment horizontal="center" vertical="center" textRotation="0" wrapText="true" indent="0" shrinkToFit="false"/>
      <protection locked="true" hidden="false"/>
    </xf>
    <xf numFmtId="172" fontId="9" fillId="6" borderId="0" xfId="24" applyFont="true" applyBorder="true" applyAlignment="true" applyProtection="false">
      <alignment horizontal="center" vertical="center" textRotation="0" wrapText="true" indent="0" shrinkToFit="false"/>
      <protection locked="true" hidden="false"/>
    </xf>
    <xf numFmtId="164" fontId="4" fillId="6" borderId="0" xfId="24" applyFont="true" applyBorder="true" applyAlignment="true" applyProtection="false">
      <alignment horizontal="general" vertical="center" textRotation="0" wrapText="false" indent="0" shrinkToFit="false"/>
      <protection locked="true" hidden="false"/>
    </xf>
    <xf numFmtId="164" fontId="26" fillId="0" borderId="0" xfId="24" applyFont="true" applyBorder="true" applyAlignment="true" applyProtection="false">
      <alignment horizontal="left" vertical="center" textRotation="0" wrapText="false" indent="0" shrinkToFit="false"/>
      <protection locked="true" hidden="false"/>
    </xf>
    <xf numFmtId="164" fontId="12" fillId="5" borderId="0" xfId="24" applyFont="true" applyBorder="true" applyAlignment="true" applyProtection="false">
      <alignment horizontal="center" vertical="center" textRotation="0" wrapText="true" indent="0" shrinkToFit="false"/>
      <protection locked="true" hidden="false"/>
    </xf>
    <xf numFmtId="174" fontId="12" fillId="5" borderId="0" xfId="24" applyFont="true" applyBorder="true" applyAlignment="true" applyProtection="false">
      <alignment horizontal="center" vertical="center" textRotation="0" wrapText="true" indent="0" shrinkToFit="false"/>
      <protection locked="true" hidden="false"/>
    </xf>
    <xf numFmtId="171" fontId="12" fillId="6" borderId="34" xfId="24" applyFont="true" applyBorder="true" applyAlignment="true" applyProtection="false">
      <alignment horizontal="center" vertical="center" textRotation="0" wrapText="true" indent="0" shrinkToFit="false"/>
      <protection locked="true" hidden="false"/>
    </xf>
    <xf numFmtId="171" fontId="9" fillId="0" borderId="6" xfId="24" applyFont="true" applyBorder="true" applyAlignment="true" applyProtection="false">
      <alignment horizontal="general" vertical="center" textRotation="0" wrapText="false" indent="0" shrinkToFit="false"/>
      <protection locked="true" hidden="false"/>
    </xf>
    <xf numFmtId="164" fontId="4" fillId="6" borderId="8" xfId="24" applyFont="true" applyBorder="true" applyAlignment="true" applyProtection="false">
      <alignment horizontal="general" vertical="center" textRotation="0" wrapText="false" indent="0" shrinkToFit="false"/>
      <protection locked="true" hidden="false"/>
    </xf>
    <xf numFmtId="171" fontId="9" fillId="6" borderId="8" xfId="24" applyFont="true" applyBorder="true" applyAlignment="true" applyProtection="false">
      <alignment horizontal="general" vertical="center" textRotation="0" wrapText="false" indent="0" shrinkToFit="false"/>
      <protection locked="true" hidden="false"/>
    </xf>
    <xf numFmtId="171" fontId="9" fillId="0" borderId="8" xfId="24" applyFont="true" applyBorder="true" applyAlignment="true" applyProtection="false">
      <alignment horizontal="general" vertical="center" textRotation="0" wrapText="false" indent="0" shrinkToFit="false"/>
      <protection locked="true" hidden="false"/>
    </xf>
    <xf numFmtId="171" fontId="10" fillId="0" borderId="6" xfId="24" applyFont="true" applyBorder="true" applyAlignment="true" applyProtection="false">
      <alignment horizontal="general" vertical="center" textRotation="0" wrapText="true" indent="0" shrinkToFit="false"/>
      <protection locked="true" hidden="false"/>
    </xf>
    <xf numFmtId="171" fontId="10" fillId="0" borderId="19" xfId="24" applyFont="true" applyBorder="true" applyAlignment="true" applyProtection="false">
      <alignment horizontal="general" vertical="center" textRotation="0" wrapText="true" indent="0" shrinkToFit="false"/>
      <protection locked="true" hidden="false"/>
    </xf>
    <xf numFmtId="171" fontId="10" fillId="0" borderId="22" xfId="24" applyFont="true" applyBorder="true" applyAlignment="true" applyProtection="false">
      <alignment horizontal="general" vertical="center" textRotation="0" wrapText="true" indent="0" shrinkToFit="false"/>
      <protection locked="true" hidden="false"/>
    </xf>
    <xf numFmtId="164" fontId="12" fillId="6" borderId="29" xfId="24" applyFont="true" applyBorder="true" applyAlignment="true" applyProtection="false">
      <alignment horizontal="general" vertical="center" textRotation="0" wrapText="true" indent="0" shrinkToFit="false"/>
      <protection locked="true" hidden="false"/>
    </xf>
    <xf numFmtId="171" fontId="12" fillId="6" borderId="29" xfId="24" applyFont="true" applyBorder="true" applyAlignment="true" applyProtection="false">
      <alignment horizontal="general" vertical="center" textRotation="0" wrapText="true" indent="0" shrinkToFit="false"/>
      <protection locked="true" hidden="false"/>
    </xf>
    <xf numFmtId="164" fontId="12" fillId="6" borderId="30" xfId="24" applyFont="true" applyBorder="true" applyAlignment="true" applyProtection="false">
      <alignment horizontal="general" vertical="center" textRotation="0" wrapText="true" indent="0" shrinkToFit="false"/>
      <protection locked="true" hidden="false"/>
    </xf>
    <xf numFmtId="171" fontId="10" fillId="6" borderId="8" xfId="24" applyFont="true" applyBorder="true" applyAlignment="true" applyProtection="false">
      <alignment horizontal="general" vertical="center" textRotation="0" wrapText="false" indent="0" shrinkToFit="false"/>
      <protection locked="true" hidden="false"/>
    </xf>
    <xf numFmtId="164" fontId="24" fillId="0" borderId="0" xfId="24" applyFont="true" applyBorder="true" applyAlignment="true" applyProtection="false">
      <alignment horizontal="center" vertical="center" textRotation="0" wrapText="true" indent="0" shrinkToFit="false"/>
      <protection locked="true" hidden="false"/>
    </xf>
    <xf numFmtId="164" fontId="12" fillId="0" borderId="0" xfId="24" applyFont="true" applyBorder="true" applyAlignment="true" applyProtection="false">
      <alignment horizontal="center" vertical="center" textRotation="0" wrapText="true" indent="0" shrinkToFit="false"/>
      <protection locked="true" hidden="false"/>
    </xf>
    <xf numFmtId="164" fontId="20" fillId="0" borderId="6" xfId="24" applyFont="true" applyBorder="true" applyAlignment="true" applyProtection="false">
      <alignment horizontal="general" vertical="center" textRotation="0" wrapText="true" indent="0" shrinkToFit="false"/>
      <protection locked="true" hidden="false"/>
    </xf>
    <xf numFmtId="164" fontId="20" fillId="0" borderId="8" xfId="24" applyFont="true" applyBorder="true" applyAlignment="true" applyProtection="false">
      <alignment horizontal="general" vertical="center" textRotation="0" wrapText="true" indent="0" shrinkToFit="false"/>
      <protection locked="true" hidden="false"/>
    </xf>
    <xf numFmtId="164" fontId="9" fillId="9" borderId="32" xfId="24" applyFont="true" applyBorder="true" applyAlignment="true" applyProtection="false">
      <alignment horizontal="general" vertical="center" textRotation="0" wrapText="true" indent="0" shrinkToFit="false"/>
      <protection locked="true" hidden="false"/>
    </xf>
    <xf numFmtId="164" fontId="28" fillId="6" borderId="6" xfId="24" applyFont="true" applyBorder="true" applyAlignment="true" applyProtection="false">
      <alignment horizontal="general" vertical="center" textRotation="0" wrapText="true" indent="0" shrinkToFit="false"/>
      <protection locked="true" hidden="false"/>
    </xf>
    <xf numFmtId="164" fontId="28" fillId="6" borderId="8" xfId="24" applyFont="true" applyBorder="true" applyAlignment="true" applyProtection="false">
      <alignment horizontal="general" vertical="center" textRotation="0" wrapText="true" indent="0" shrinkToFit="false"/>
      <protection locked="true" hidden="false"/>
    </xf>
    <xf numFmtId="164" fontId="9" fillId="0" borderId="8" xfId="24" applyFont="true" applyBorder="true" applyAlignment="true" applyProtection="false">
      <alignment horizontal="general" vertical="center" textRotation="0" wrapText="false" indent="0" shrinkToFit="false"/>
      <protection locked="true" hidden="false"/>
    </xf>
    <xf numFmtId="164" fontId="28" fillId="6" borderId="8" xfId="24" applyFont="true" applyBorder="true" applyAlignment="true" applyProtection="false">
      <alignment horizontal="general" vertical="center" textRotation="0" wrapText="false" indent="0" shrinkToFit="false"/>
      <protection locked="true" hidden="false"/>
    </xf>
    <xf numFmtId="187" fontId="10" fillId="0" borderId="0" xfId="24" applyFont="true" applyBorder="true" applyAlignment="true" applyProtection="false">
      <alignment horizontal="general" vertical="center" textRotation="0" wrapText="false" indent="0" shrinkToFit="false"/>
      <protection locked="true" hidden="false"/>
    </xf>
    <xf numFmtId="164" fontId="10" fillId="0" borderId="0" xfId="24" applyFont="true" applyBorder="true" applyAlignment="true" applyProtection="false">
      <alignment horizontal="general" vertical="center" textRotation="0" wrapText="false" indent="0" shrinkToFit="false"/>
      <protection locked="true" hidden="false"/>
    </xf>
    <xf numFmtId="164" fontId="4" fillId="6" borderId="6" xfId="24" applyFont="true" applyBorder="true" applyAlignment="true" applyProtection="false">
      <alignment horizontal="general" vertical="center" textRotation="0" wrapText="false" indent="0" shrinkToFit="false"/>
      <protection locked="true" hidden="false"/>
    </xf>
    <xf numFmtId="164" fontId="29" fillId="6" borderId="6" xfId="24" applyFont="true" applyBorder="true" applyAlignment="true" applyProtection="false">
      <alignment horizontal="center" vertical="center"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Percent" xfId="25"/>
  </cellStyles>
  <dxfs count="2">
    <dxf>
      <font>
        <b val="1"/>
        <color rgb="FF548235"/>
      </font>
      <fill>
        <patternFill>
          <bgColor rgb="FFE2F0D9"/>
        </patternFill>
      </fill>
    </dxf>
    <dxf>
      <font>
        <b val="1"/>
        <color rgb="FFC00000"/>
      </font>
      <fill>
        <patternFill>
          <bgColor rgb="FFFCE4D6"/>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156082"/>
      <rgbColor rgb="FFB7C9D6"/>
      <rgbColor rgb="FF8B8B8B"/>
      <rgbColor rgb="FF9999FF"/>
      <rgbColor rgb="FF993366"/>
      <rgbColor rgb="FFFFF2CC"/>
      <rgbColor rgb="FFEAF2F8"/>
      <rgbColor rgb="FF660066"/>
      <rgbColor rgb="FFFF8080"/>
      <rgbColor rgb="FF0066CC"/>
      <rgbColor rgb="FFCCCCCC"/>
      <rgbColor rgb="FF000080"/>
      <rgbColor rgb="FFFF00FF"/>
      <rgbColor rgb="FFFFFF00"/>
      <rgbColor rgb="FF00FFFF"/>
      <rgbColor rgb="FF800080"/>
      <rgbColor rgb="FF800000"/>
      <rgbColor rgb="FF196B24"/>
      <rgbColor rgb="FF0000FF"/>
      <rgbColor rgb="FF00CCFF"/>
      <rgbColor rgb="FFF2F2F2"/>
      <rgbColor rgb="FFE2F0D9"/>
      <rgbColor rgb="FFD9D9D9"/>
      <rgbColor rgb="FFA6B7C9"/>
      <rgbColor rgb="FFD9E2F3"/>
      <rgbColor rgb="FFB3B3B3"/>
      <rgbColor rgb="FFFCE4D6"/>
      <rgbColor rgb="FF3366FF"/>
      <rgbColor rgb="FF33CCCC"/>
      <rgbColor rgb="FF99CC00"/>
      <rgbColor rgb="FFD6B656"/>
      <rgbColor rgb="FFFF9900"/>
      <rgbColor rgb="FFE97132"/>
      <rgbColor rgb="FF666666"/>
      <rgbColor rgb="FFA6A6A6"/>
      <rgbColor rgb="FF0B1F3A"/>
      <rgbColor rgb="FF548235"/>
      <rgbColor rgb="FF003300"/>
      <rgbColor rgb="FF333300"/>
      <rgbColor rgb="FF993300"/>
      <rgbColor rgb="FF993366"/>
      <rgbColor rgb="FF1F4E78"/>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chemeClr val="tx1"/>
                </a:solidFill>
                <a:uFillTx/>
                <a:latin typeface="Calibri"/>
                <a:ea typeface="Calibri"/>
              </a:rPr>
              <a:t>Unaffected Price vs. PTA Value vs. Offer Price ($/share)</a:t>
            </a:r>
          </a:p>
        </c:rich>
      </c:tx>
      <c:overlay val="0"/>
      <c:spPr>
        <a:noFill/>
        <a:ln w="0">
          <a:noFill/>
        </a:ln>
      </c:spPr>
    </c:title>
    <c:autoTitleDeleted val="0"/>
    <c:plotArea>
      <c:barChart>
        <c:barDir val="col"/>
        <c:grouping val="clustered"/>
        <c:varyColors val="0"/>
        <c:ser>
          <c:idx val="0"/>
          <c:order val="0"/>
          <c:tx>
            <c:strRef>
              <c:f>"$/Share"</c:f>
              <c:strCache>
                <c:ptCount val="1"/>
                <c:pt idx="0">
                  <c:v>$/Share</c:v>
                </c:pt>
              </c:strCache>
            </c:strRef>
          </c:tx>
          <c:spPr>
            <a:ln w="0">
              <a:noFill/>
            </a:ln>
          </c:spPr>
          <c:invertIfNegative val="0"/>
          <c:dLbls>
            <c:txPr>
              <a:bodyPr wrap="square"/>
              <a:lstStyle/>
              <a:p>
                <a:pPr>
                  <a:defRPr sz="1000" b="0" u="none" strike="noStrike">
                    <a:solidFill>
                      <a:srgbClr val="000000"/>
                    </a:solidFill>
                    <a:uFillTx/>
                    <a:latin typeface="Arial"/>
                    <a:ea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Dashboard!$E$11:$E$13</c:f>
              <c:strCache>
                <c:ptCount val="3"/>
                <c:pt idx="0">
                  <c:v>Unaffected Price</c:v>
                </c:pt>
                <c:pt idx="1">
                  <c:v>PTA Value</c:v>
                </c:pt>
                <c:pt idx="2">
                  <c:v>Offer Price</c:v>
                </c:pt>
              </c:strCache>
            </c:strRef>
          </c:cat>
          <c:val>
            <c:numRef>
              <c:f>Dashboard!$F$11:$F$13</c:f>
              <c:numCache>
                <c:formatCode>\$0.00;"($"0.00\);\-</c:formatCode>
                <c:ptCount val="3"/>
                <c:pt idx="0">
                  <c:v>171.65</c:v>
                </c:pt>
                <c:pt idx="1">
                  <c:v>156.033533698912</c:v>
                </c:pt>
                <c:pt idx="2">
                  <c:v>210</c:v>
                </c:pt>
              </c:numCache>
            </c:numRef>
          </c:val>
        </c:ser>
        <c:gapWidth val="150"/>
        <c:overlap val="0"/>
        <c:axId val="72979293"/>
        <c:axId val="76327068"/>
      </c:barChart>
      <c:catAx>
        <c:axId val="72979293"/>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000" b="0" u="none" strike="noStrike">
                <a:solidFill>
                  <a:schemeClr val="tx1"/>
                </a:solidFill>
                <a:uFillTx/>
                <a:latin typeface="Calibri"/>
                <a:ea typeface="Calibri"/>
              </a:defRPr>
            </a:pPr>
          </a:p>
        </c:txPr>
        <c:crossAx val="76327068"/>
        <c:crosses val="autoZero"/>
        <c:auto val="1"/>
        <c:lblAlgn val="ctr"/>
        <c:lblOffset val="100"/>
        <c:noMultiLvlLbl val="0"/>
      </c:catAx>
      <c:valAx>
        <c:axId val="76327068"/>
        <c:scaling>
          <c:orientation val="minMax"/>
        </c:scaling>
        <c:delete val="0"/>
        <c:axPos val="l"/>
        <c:majorGridlines>
          <c:spPr>
            <a:ln w="9360">
              <a:solidFill>
                <a:srgbClr val="CCCCCC"/>
              </a:solidFill>
              <a:prstDash val="dash"/>
              <a:round/>
            </a:ln>
          </c:spPr>
        </c:majorGridlines>
        <c:numFmt formatCode="\$0.00;&quot;($&quot;0.00\);\-" sourceLinked="0"/>
        <c:majorTickMark val="none"/>
        <c:minorTickMark val="none"/>
        <c:tickLblPos val="nextTo"/>
        <c:spPr>
          <a:ln w="0">
            <a:solidFill>
              <a:srgbClr val="B3B3B3"/>
            </a:solidFill>
          </a:ln>
        </c:spPr>
        <c:txPr>
          <a:bodyPr/>
          <a:lstStyle/>
          <a:p>
            <a:pPr>
              <a:defRPr sz="1000" b="0" u="none" strike="noStrike">
                <a:solidFill>
                  <a:schemeClr val="tx1"/>
                </a:solidFill>
                <a:uFillTx/>
                <a:latin typeface="Calibri"/>
                <a:ea typeface="Calibri"/>
              </a:defRPr>
            </a:pPr>
          </a:p>
        </c:txPr>
        <c:crossAx val="72979293"/>
        <c:crosses val="autoZero"/>
        <c:crossBetween val="between"/>
      </c:valAx>
      <c:spPr>
        <a:ln w="0">
          <a:noFill/>
        </a:ln>
      </c:spPr>
    </c:plotArea>
    <c:plotVisOnly val="1"/>
    <c:dispBlanksAs val="zero"/>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chemeClr val="tx1"/>
                </a:solidFill>
                <a:uFillTx/>
                <a:latin typeface="Calibri"/>
                <a:ea typeface="Calibri"/>
              </a:rPr>
              <a:t>Transaction Premium Comparison (%)</a:t>
            </a:r>
          </a:p>
        </c:rich>
      </c:tx>
      <c:overlay val="0"/>
      <c:spPr>
        <a:noFill/>
        <a:ln w="0">
          <a:noFill/>
        </a:ln>
      </c:spPr>
    </c:title>
    <c:autoTitleDeleted val="0"/>
    <c:plotArea>
      <c:barChart>
        <c:barDir val="col"/>
        <c:grouping val="clustered"/>
        <c:varyColors val="0"/>
        <c:ser>
          <c:idx val="0"/>
          <c:order val="0"/>
          <c:tx>
            <c:strRef>
              <c:f>"Premium (%)"</c:f>
              <c:strCache>
                <c:ptCount val="1"/>
                <c:pt idx="0">
                  <c:v>Premium (%)</c:v>
                </c:pt>
              </c:strCache>
            </c:strRef>
          </c:tx>
          <c:spPr>
            <a:ln w="0">
              <a:noFill/>
            </a:ln>
          </c:spPr>
          <c:invertIfNegative val="0"/>
          <c:dLbls>
            <c:txPr>
              <a:bodyPr wrap="square"/>
              <a:lstStyle/>
              <a:p>
                <a:pPr>
                  <a:defRPr sz="1000" b="0" u="none" strike="noStrike">
                    <a:solidFill>
                      <a:srgbClr val="000000"/>
                    </a:solidFill>
                    <a:uFillTx/>
                    <a:latin typeface="Arial"/>
                    <a:ea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'Premium Analysis'!$F$5:$F$11</c:f>
              <c:strCache>
                <c:ptCount val="7"/>
                <c:pt idx="0">
                  <c:v>Baker Hughes / Chart</c:v>
                </c:pt>
                <c:pt idx="1">
                  <c:v>Flowserve / Velan</c:v>
                </c:pt>
                <c:pt idx="2">
                  <c:v>SLB / ChampionX</c:v>
                </c:pt>
                <c:pt idx="3">
                  <c:v>Emerson / NI</c:v>
                </c:pt>
                <c:pt idx="4">
                  <c:v>Regal Rexnord / Altra</c:v>
                </c:pt>
                <c:pt idx="5">
                  <c:v>KKR / Gardner Denver</c:v>
                </c:pt>
                <c:pt idx="6">
                  <c:v>Caterpillar / Bucyrus</c:v>
                </c:pt>
              </c:strCache>
            </c:strRef>
          </c:cat>
          <c:val>
            <c:numRef>
              <c:f>'Premium Analysis'!$G$5:$G$11</c:f>
              <c:numCache>
                <c:formatCode>0.0</c:formatCode>
                <c:ptCount val="7"/>
                <c:pt idx="0">
                  <c:v>22.3419749490242</c:v>
                </c:pt>
                <c:pt idx="1">
                  <c:v>100</c:v>
                </c:pt>
                <c:pt idx="2">
                  <c:v>14.7</c:v>
                </c:pt>
                <c:pt idx="3">
                  <c:v>49.3651979088872</c:v>
                </c:pt>
                <c:pt idx="4">
                  <c:v>54.000154000154</c:v>
                </c:pt>
                <c:pt idx="5">
                  <c:v>38.8127853881279</c:v>
                </c:pt>
                <c:pt idx="6">
                  <c:v>31.9999426087206</c:v>
                </c:pt>
              </c:numCache>
            </c:numRef>
          </c:val>
        </c:ser>
        <c:gapWidth val="150"/>
        <c:overlap val="0"/>
        <c:axId val="76738973"/>
        <c:axId val="59726517"/>
      </c:barChart>
      <c:catAx>
        <c:axId val="76738973"/>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000" b="0" u="none" strike="noStrike">
                <a:solidFill>
                  <a:schemeClr val="tx1"/>
                </a:solidFill>
                <a:uFillTx/>
                <a:latin typeface="Calibri"/>
                <a:ea typeface="Calibri"/>
              </a:defRPr>
            </a:pPr>
          </a:p>
        </c:txPr>
        <c:crossAx val="59726517"/>
        <c:crosses val="autoZero"/>
        <c:auto val="1"/>
        <c:lblAlgn val="ctr"/>
        <c:lblOffset val="100"/>
        <c:noMultiLvlLbl val="0"/>
      </c:catAx>
      <c:valAx>
        <c:axId val="59726517"/>
        <c:scaling>
          <c:orientation val="minMax"/>
        </c:scaling>
        <c:delete val="0"/>
        <c:axPos val="l"/>
        <c:majorGridlines>
          <c:spPr>
            <a:ln w="9360">
              <a:solidFill>
                <a:srgbClr val="CCCCCC"/>
              </a:solidFill>
              <a:prstDash val="dash"/>
              <a:round/>
            </a:ln>
          </c:spPr>
        </c:majorGridlines>
        <c:numFmt formatCode="0.0" sourceLinked="0"/>
        <c:majorTickMark val="none"/>
        <c:minorTickMark val="none"/>
        <c:tickLblPos val="nextTo"/>
        <c:spPr>
          <a:ln w="0">
            <a:solidFill>
              <a:srgbClr val="B3B3B3"/>
            </a:solidFill>
          </a:ln>
        </c:spPr>
        <c:txPr>
          <a:bodyPr/>
          <a:lstStyle/>
          <a:p>
            <a:pPr>
              <a:defRPr sz="1000" b="0" u="none" strike="noStrike">
                <a:solidFill>
                  <a:schemeClr val="tx1"/>
                </a:solidFill>
                <a:uFillTx/>
                <a:latin typeface="Calibri"/>
                <a:ea typeface="Calibri"/>
              </a:defRPr>
            </a:pPr>
          </a:p>
        </c:txPr>
        <c:crossAx val="76738973"/>
        <c:crosses val="autoZero"/>
        <c:crossBetween val="between"/>
      </c:valAx>
      <c:spPr>
        <a:ln w="0">
          <a:noFill/>
        </a:ln>
      </c:spPr>
    </c:plotArea>
    <c:plotVisOnly val="1"/>
    <c:dispBlanksAs val="zero"/>
  </c:chart>
  <c:spPr>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ea typeface="Calibri"/>
              </a:rPr>
              <a:t>PTA Valuation Range — 25th / Median / 75th Percentile</a:t>
            </a:r>
          </a:p>
        </c:rich>
      </c:tx>
      <c:overlay val="0"/>
      <c:spPr>
        <a:noFill/>
        <a:ln w="0">
          <a:noFill/>
        </a:ln>
      </c:spPr>
    </c:title>
    <c:autoTitleDeleted val="0"/>
    <c:plotArea>
      <c:barChart>
        <c:barDir val="col"/>
        <c:grouping val="clustered"/>
        <c:varyColors val="0"/>
        <c:ser>
          <c:idx val="0"/>
          <c:order val="0"/>
          <c:tx>
            <c:strRef>
              <c:f>"Low (25th)"</c:f>
              <c:strCache>
                <c:ptCount val="1"/>
                <c:pt idx="0">
                  <c:v>Low (25th)</c:v>
                </c:pt>
              </c:strCache>
            </c:strRef>
          </c:tx>
          <c:spPr>
            <a:solidFill>
              <a:srgbClr val="156082"/>
            </a:solidFill>
            <a:ln w="0">
              <a:noFill/>
            </a:ln>
          </c:spPr>
          <c:invertIfNegative val="0"/>
          <c:dLbls>
            <c:txPr>
              <a:bodyPr wrap="square"/>
              <a:lstStyle/>
              <a:p>
                <a:pPr>
                  <a:defRPr sz="1000" b="0" u="none" strike="noStrike">
                    <a:solidFill>
                      <a:srgbClr val="000000"/>
                    </a:solidFill>
                    <a:uFillTx/>
                    <a:latin typeface="Arial"/>
                    <a:ea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'Football Field'!$A$6:$A$7</c:f>
              <c:strCache>
                <c:ptCount val="2"/>
                <c:pt idx="0">
                  <c:v>EV / Revenue</c:v>
                </c:pt>
                <c:pt idx="1">
                  <c:v>EV / Adjusted EBITDA</c:v>
                </c:pt>
              </c:strCache>
            </c:strRef>
          </c:cat>
          <c:val>
            <c:numRef>
              <c:f>'Football Field'!$B$6:$B$7</c:f>
              <c:numCache>
                <c:formatCode>\$0.00;"($"0.00\);\-</c:formatCode>
                <c:ptCount val="2"/>
                <c:pt idx="0">
                  <c:v>102.726621265033</c:v>
                </c:pt>
                <c:pt idx="1">
                  <c:v>155.729474950606</c:v>
                </c:pt>
              </c:numCache>
            </c:numRef>
          </c:val>
        </c:ser>
        <c:ser>
          <c:idx val="1"/>
          <c:order val="1"/>
          <c:tx>
            <c:strRef>
              <c:f>"Median"</c:f>
              <c:strCache>
                <c:ptCount val="1"/>
                <c:pt idx="0">
                  <c:v>Median</c:v>
                </c:pt>
              </c:strCache>
            </c:strRef>
          </c:tx>
          <c:spPr>
            <a:solidFill>
              <a:srgbClr val="E97132"/>
            </a:solidFill>
            <a:ln w="0">
              <a:noFill/>
            </a:ln>
          </c:spPr>
          <c:invertIfNegative val="0"/>
          <c:dLbls>
            <c:txPr>
              <a:bodyPr wrap="square"/>
              <a:lstStyle/>
              <a:p>
                <a:pPr>
                  <a:defRPr sz="1000" b="0" u="none" strike="noStrike">
                    <a:solidFill>
                      <a:srgbClr val="000000"/>
                    </a:solidFill>
                    <a:uFillTx/>
                    <a:latin typeface="Arial"/>
                    <a:ea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'Football Field'!$A$6:$A$7</c:f>
              <c:strCache>
                <c:ptCount val="2"/>
                <c:pt idx="0">
                  <c:v>EV / Revenue</c:v>
                </c:pt>
                <c:pt idx="1">
                  <c:v>EV / Adjusted EBITDA</c:v>
                </c:pt>
              </c:strCache>
            </c:strRef>
          </c:cat>
          <c:val>
            <c:numRef>
              <c:f>'Football Field'!$C$6:$C$7</c:f>
              <c:numCache>
                <c:formatCode>\$0.00;"($"0.00\);\-</c:formatCode>
                <c:ptCount val="2"/>
                <c:pt idx="0">
                  <c:v>135.908020300221</c:v>
                </c:pt>
                <c:pt idx="1">
                  <c:v>176.159047097602</c:v>
                </c:pt>
              </c:numCache>
            </c:numRef>
          </c:val>
        </c:ser>
        <c:ser>
          <c:idx val="2"/>
          <c:order val="2"/>
          <c:tx>
            <c:strRef>
              <c:f>"High (75th)"</c:f>
              <c:strCache>
                <c:ptCount val="1"/>
                <c:pt idx="0">
                  <c:v>High (75th)</c:v>
                </c:pt>
              </c:strCache>
            </c:strRef>
          </c:tx>
          <c:spPr>
            <a:solidFill>
              <a:srgbClr val="196B24"/>
            </a:solidFill>
            <a:ln w="0">
              <a:noFill/>
            </a:ln>
          </c:spPr>
          <c:invertIfNegative val="0"/>
          <c:dLbls>
            <c:txPr>
              <a:bodyPr wrap="square"/>
              <a:lstStyle/>
              <a:p>
                <a:pPr>
                  <a:defRPr sz="1000" b="0" u="none" strike="noStrike">
                    <a:solidFill>
                      <a:srgbClr val="000000"/>
                    </a:solidFill>
                    <a:uFillTx/>
                    <a:latin typeface="Arial"/>
                    <a:ea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'Football Field'!$A$6:$A$7</c:f>
              <c:strCache>
                <c:ptCount val="2"/>
                <c:pt idx="0">
                  <c:v>EV / Revenue</c:v>
                </c:pt>
                <c:pt idx="1">
                  <c:v>EV / Adjusted EBITDA</c:v>
                </c:pt>
              </c:strCache>
            </c:strRef>
          </c:cat>
          <c:val>
            <c:numRef>
              <c:f>'Football Field'!$D$6:$D$7</c:f>
              <c:numCache>
                <c:formatCode>\$0.00;"($"0.00\);\-</c:formatCode>
                <c:ptCount val="2"/>
                <c:pt idx="0">
                  <c:v>148.64042878683</c:v>
                </c:pt>
                <c:pt idx="1">
                  <c:v>206.252511951274</c:v>
                </c:pt>
              </c:numCache>
            </c:numRef>
          </c:val>
        </c:ser>
        <c:gapWidth val="150"/>
        <c:overlap val="0"/>
        <c:axId val="29088037"/>
        <c:axId val="54321917"/>
      </c:barChart>
      <c:catAx>
        <c:axId val="29088037"/>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54321917"/>
        <c:crosses val="autoZero"/>
        <c:auto val="1"/>
        <c:lblAlgn val="ctr"/>
        <c:lblOffset val="100"/>
        <c:noMultiLvlLbl val="0"/>
      </c:catAx>
      <c:valAx>
        <c:axId val="54321917"/>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29088037"/>
        <c:crosses val="autoZero"/>
        <c:crossBetween val="between"/>
      </c:valAx>
      <c:spPr>
        <a:ln w="0">
          <a:noFill/>
        </a:ln>
      </c:spPr>
    </c:plotArea>
    <c:legend>
      <c:legendPos val="b"/>
      <c:overlay val="0"/>
      <c:spPr>
        <a:noFill/>
        <a:ln w="0">
          <a:noFill/>
        </a:ln>
      </c:spPr>
      <c:txPr>
        <a:bodyPr/>
        <a:lstStyle/>
        <a:p>
          <a:pPr>
            <a:defRPr sz="1000" b="0" u="none" strike="noStrike">
              <a:solidFill>
                <a:srgbClr val="000000"/>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chemeClr val="tx1"/>
                </a:solidFill>
                <a:uFillTx/>
                <a:latin typeface="Calibri"/>
                <a:ea typeface="Calibri"/>
              </a:rPr>
              <a:t>Reference Prices ($/share)</a:t>
            </a:r>
          </a:p>
        </c:rich>
      </c:tx>
      <c:overlay val="0"/>
      <c:spPr>
        <a:noFill/>
        <a:ln w="0">
          <a:noFill/>
        </a:ln>
      </c:spPr>
    </c:title>
    <c:autoTitleDeleted val="0"/>
    <c:plotArea>
      <c:barChart>
        <c:barDir val="col"/>
        <c:grouping val="clustered"/>
        <c:varyColors val="0"/>
        <c:ser>
          <c:idx val="0"/>
          <c:order val="0"/>
          <c:tx>
            <c:strRef>
              <c:f>"Price / Share"</c:f>
              <c:strCache>
                <c:ptCount val="1"/>
                <c:pt idx="0">
                  <c:v>Price / Share</c:v>
                </c:pt>
              </c:strCache>
            </c:strRef>
          </c:tx>
          <c:spPr>
            <a:ln w="0">
              <a:noFill/>
            </a:ln>
          </c:spPr>
          <c:invertIfNegative val="0"/>
          <c:dLbls>
            <c:txPr>
              <a:bodyPr wrap="square"/>
              <a:lstStyle/>
              <a:p>
                <a:pPr>
                  <a:defRPr sz="1000" b="0" u="none" strike="noStrike">
                    <a:solidFill>
                      <a:srgbClr val="000000"/>
                    </a:solidFill>
                    <a:uFillTx/>
                    <a:latin typeface="Arial"/>
                    <a:ea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'Football Field'!$A$24:$A$26</c:f>
              <c:strCache>
                <c:ptCount val="3"/>
                <c:pt idx="0">
                  <c:v>Unaffected Share Price</c:v>
                </c:pt>
                <c:pt idx="1">
                  <c:v>Blended PTA Valuation</c:v>
                </c:pt>
                <c:pt idx="2">
                  <c:v>Baker Hughes Offer Price</c:v>
                </c:pt>
              </c:strCache>
            </c:strRef>
          </c:cat>
          <c:val>
            <c:numRef>
              <c:f>'Football Field'!$B$24:$B$26</c:f>
              <c:numCache>
                <c:formatCode>\$0.00;"($"0.00\);\-</c:formatCode>
                <c:ptCount val="3"/>
                <c:pt idx="0">
                  <c:v>171.65</c:v>
                </c:pt>
                <c:pt idx="1">
                  <c:v>156.033533698912</c:v>
                </c:pt>
                <c:pt idx="2">
                  <c:v>210</c:v>
                </c:pt>
              </c:numCache>
            </c:numRef>
          </c:val>
        </c:ser>
        <c:gapWidth val="150"/>
        <c:overlap val="0"/>
        <c:axId val="14493143"/>
        <c:axId val="10470888"/>
      </c:barChart>
      <c:catAx>
        <c:axId val="14493143"/>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000" b="0" u="none" strike="noStrike">
                <a:solidFill>
                  <a:schemeClr val="tx1"/>
                </a:solidFill>
                <a:uFillTx/>
                <a:latin typeface="Calibri"/>
                <a:ea typeface="Calibri"/>
              </a:defRPr>
            </a:pPr>
          </a:p>
        </c:txPr>
        <c:crossAx val="10470888"/>
        <c:crosses val="autoZero"/>
        <c:auto val="1"/>
        <c:lblAlgn val="ctr"/>
        <c:lblOffset val="100"/>
        <c:noMultiLvlLbl val="0"/>
      </c:catAx>
      <c:valAx>
        <c:axId val="10470888"/>
        <c:scaling>
          <c:orientation val="minMax"/>
        </c:scaling>
        <c:delete val="0"/>
        <c:axPos val="l"/>
        <c:majorGridlines>
          <c:spPr>
            <a:ln w="9360">
              <a:solidFill>
                <a:srgbClr val="CCCCCC"/>
              </a:solidFill>
              <a:prstDash val="dash"/>
              <a:round/>
            </a:ln>
          </c:spPr>
        </c:majorGridlines>
        <c:numFmt formatCode="\$0.00;&quot;($&quot;0.00\);\-" sourceLinked="0"/>
        <c:majorTickMark val="none"/>
        <c:minorTickMark val="none"/>
        <c:tickLblPos val="nextTo"/>
        <c:spPr>
          <a:ln w="0">
            <a:solidFill>
              <a:srgbClr val="B3B3B3"/>
            </a:solidFill>
          </a:ln>
        </c:spPr>
        <c:txPr>
          <a:bodyPr/>
          <a:lstStyle/>
          <a:p>
            <a:pPr>
              <a:defRPr sz="1000" b="0" u="none" strike="noStrike">
                <a:solidFill>
                  <a:schemeClr val="tx1"/>
                </a:solidFill>
                <a:uFillTx/>
                <a:latin typeface="Calibri"/>
                <a:ea typeface="Calibri"/>
              </a:defRPr>
            </a:pPr>
          </a:p>
        </c:txPr>
        <c:crossAx val="14493143"/>
        <c:crosses val="autoZero"/>
        <c:crossBetween val="between"/>
      </c:valAx>
      <c:spPr>
        <a:ln w="0">
          <a:noFill/>
        </a:ln>
      </c:spPr>
    </c:plotArea>
    <c:plotVisOnly val="1"/>
    <c:dispBlanksAs val="zero"/>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250920</xdr:colOff>
      <xdr:row>8</xdr:row>
      <xdr:rowOff>189720</xdr:rowOff>
    </xdr:from>
    <xdr:to>
      <xdr:col>9</xdr:col>
      <xdr:colOff>1056240</xdr:colOff>
      <xdr:row>24</xdr:row>
      <xdr:rowOff>181800</xdr:rowOff>
    </xdr:to>
    <xdr:graphicFrame>
      <xdr:nvGraphicFramePr>
        <xdr:cNvPr id="1" name="Chart"/>
        <xdr:cNvGraphicFramePr/>
      </xdr:nvGraphicFramePr>
      <xdr:xfrm>
        <a:off x="9977760" y="2447280"/>
        <a:ext cx="3977280" cy="3539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12</xdr:row>
      <xdr:rowOff>0</xdr:rowOff>
    </xdr:from>
    <xdr:to>
      <xdr:col>10</xdr:col>
      <xdr:colOff>985680</xdr:colOff>
      <xdr:row>28</xdr:row>
      <xdr:rowOff>303480</xdr:rowOff>
    </xdr:to>
    <xdr:graphicFrame>
      <xdr:nvGraphicFramePr>
        <xdr:cNvPr id="2" name="Chart"/>
        <xdr:cNvGraphicFramePr/>
      </xdr:nvGraphicFramePr>
      <xdr:xfrm>
        <a:off x="7189560" y="2874600"/>
        <a:ext cx="7399800" cy="3481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0</xdr:rowOff>
    </xdr:from>
    <xdr:to>
      <xdr:col>11</xdr:col>
      <xdr:colOff>985320</xdr:colOff>
      <xdr:row>19</xdr:row>
      <xdr:rowOff>189000</xdr:rowOff>
    </xdr:to>
    <xdr:graphicFrame>
      <xdr:nvGraphicFramePr>
        <xdr:cNvPr id="3" name="Chart"/>
        <xdr:cNvGraphicFramePr/>
      </xdr:nvGraphicFramePr>
      <xdr:xfrm>
        <a:off x="6907680" y="743040"/>
        <a:ext cx="5919120" cy="3579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21</xdr:row>
      <xdr:rowOff>0</xdr:rowOff>
    </xdr:from>
    <xdr:to>
      <xdr:col>8</xdr:col>
      <xdr:colOff>985680</xdr:colOff>
      <xdr:row>35</xdr:row>
      <xdr:rowOff>181800</xdr:rowOff>
    </xdr:to>
    <xdr:graphicFrame>
      <xdr:nvGraphicFramePr>
        <xdr:cNvPr id="4" name="Chart"/>
        <xdr:cNvGraphicFramePr/>
      </xdr:nvGraphicFramePr>
      <xdr:xfrm>
        <a:off x="4229280" y="4507200"/>
        <a:ext cx="5637600" cy="2813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0390625" defaultRowHeight="14.4" customHeight="false"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31"/>
    <col collapsed="false" customWidth="true" hidden="false" outlineLevel="0" max="4" min="4" style="0" width="18"/>
    <col collapsed="false" customWidth="true" hidden="false" outlineLevel="0" max="5" min="5" style="0" width="22"/>
    <col collapsed="false" customWidth="true" hidden="false" outlineLevel="0" max="10" min="6" style="0" width="15"/>
  </cols>
  <sheetData>
    <row r="1" customFormat="false" ht="25.5" hidden="false" customHeight="true" outlineLevel="0" collapsed="false">
      <c r="A1" s="1" t="s">
        <v>0</v>
      </c>
      <c r="B1" s="1"/>
      <c r="C1" s="1"/>
      <c r="D1" s="1"/>
      <c r="E1" s="1"/>
      <c r="F1" s="1"/>
      <c r="G1" s="1"/>
      <c r="H1" s="1"/>
      <c r="I1" s="1"/>
      <c r="J1" s="1"/>
    </row>
    <row r="2" customFormat="false" ht="18" hidden="false" customHeight="true" outlineLevel="0" collapsed="false">
      <c r="A2" s="2" t="s">
        <v>1</v>
      </c>
      <c r="B2" s="2"/>
      <c r="C2" s="2"/>
      <c r="D2" s="2"/>
      <c r="E2" s="2"/>
      <c r="F2" s="2"/>
      <c r="G2" s="2"/>
      <c r="H2" s="2"/>
      <c r="I2" s="2"/>
      <c r="J2" s="2"/>
    </row>
    <row r="3" customFormat="false" ht="14.4" hidden="false" customHeight="false" outlineLevel="0" collapsed="false">
      <c r="A3" s="3"/>
      <c r="B3" s="3"/>
      <c r="C3" s="3"/>
      <c r="D3" s="3"/>
      <c r="E3" s="3"/>
      <c r="F3" s="3"/>
      <c r="G3" s="3"/>
      <c r="H3" s="3"/>
      <c r="I3" s="3"/>
      <c r="J3" s="3"/>
    </row>
    <row r="4" customFormat="false" ht="20" hidden="false" customHeight="true" outlineLevel="0" collapsed="false">
      <c r="A4" s="4" t="s">
        <v>2</v>
      </c>
      <c r="B4" s="4"/>
      <c r="C4" s="4"/>
      <c r="D4" s="4"/>
      <c r="E4" s="4"/>
      <c r="F4" s="4"/>
      <c r="G4" s="4"/>
      <c r="H4" s="4"/>
      <c r="I4" s="4"/>
      <c r="J4" s="4"/>
    </row>
    <row r="5" customFormat="false" ht="24" hidden="false" customHeight="true" outlineLevel="0" collapsed="false">
      <c r="A5" s="5" t="s">
        <v>3</v>
      </c>
      <c r="B5" s="6" t="s">
        <v>4</v>
      </c>
      <c r="C5" s="6" t="s">
        <v>5</v>
      </c>
      <c r="D5" s="7" t="s">
        <v>4</v>
      </c>
      <c r="E5" s="8" t="s">
        <v>6</v>
      </c>
      <c r="F5" s="8"/>
      <c r="G5" s="8"/>
      <c r="H5" s="8"/>
      <c r="I5" s="8"/>
      <c r="J5" s="8"/>
    </row>
    <row r="6" customFormat="false" ht="23.85" hidden="false" customHeight="false" outlineLevel="0" collapsed="false">
      <c r="A6" s="9" t="s">
        <v>7</v>
      </c>
      <c r="B6" s="10" t="str">
        <f aca="false">'Transaction Overview'!B6</f>
        <v>Baker Hughes Company</v>
      </c>
      <c r="C6" s="11" t="s">
        <v>8</v>
      </c>
      <c r="D6" s="12" t="str">
        <f aca="false">'Transaction Overview'!B27</f>
        <v>Completed</v>
      </c>
      <c r="E6" s="13" t="str">
        <f aca="false">"PTA Implied Value = "&amp;TEXT('PTA Valuation'!B40,"$0.00")&amp;"/share"</f>
        <v>PTA Implied Value = $156.03/share</v>
      </c>
      <c r="F6" s="13"/>
      <c r="G6" s="13"/>
      <c r="H6" s="13"/>
      <c r="I6" s="13"/>
      <c r="J6" s="13"/>
    </row>
    <row r="7" customFormat="false" ht="26" hidden="false" customHeight="true" outlineLevel="0" collapsed="false">
      <c r="A7" s="9" t="s">
        <v>9</v>
      </c>
      <c r="B7" s="10" t="str">
        <f aca="false">'Transaction Overview'!B7</f>
        <v>Chart Industries, Inc.</v>
      </c>
      <c r="C7" s="14" t="s">
        <v>10</v>
      </c>
      <c r="D7" s="15" t="n">
        <f aca="false">'Transaction Overview'!B24</f>
        <v>3.26899502439728</v>
      </c>
      <c r="E7" s="13" t="str">
        <f aca="false">"Baker Hughes Offer Price = "&amp;TEXT('Transaction Overview'!B10,"$0.00")&amp;"/share"</f>
        <v>Baker Hughes Offer Price = $210.00/share</v>
      </c>
      <c r="F7" s="13"/>
      <c r="G7" s="13"/>
      <c r="H7" s="13"/>
      <c r="I7" s="13"/>
      <c r="J7" s="13"/>
    </row>
    <row r="8" customFormat="false" ht="26" hidden="false" customHeight="true" outlineLevel="0" collapsed="false">
      <c r="A8" s="9" t="s">
        <v>11</v>
      </c>
      <c r="B8" s="16" t="n">
        <f aca="false">'Transaction Overview'!B8</f>
        <v>45867</v>
      </c>
      <c r="C8" s="14" t="s">
        <v>12</v>
      </c>
      <c r="D8" s="15" t="n">
        <f aca="false">'Transaction Overview'!B25</f>
        <v>13.4148747287433</v>
      </c>
      <c r="E8" s="17" t="str">
        <f aca="false">"Offer Premium vs. PTA (Offer / PTA - 1) = "&amp;TEXT('Transaction Overview'!B10/'PTA Valuation'!B40-1,"0.0%")</f>
        <v>Offer Premium vs. PTA (Offer / PTA - 1) = 34.6%</v>
      </c>
      <c r="F8" s="17"/>
      <c r="G8" s="17"/>
      <c r="H8" s="17"/>
      <c r="I8" s="17"/>
      <c r="J8" s="17"/>
    </row>
    <row r="9" customFormat="false" ht="15" hidden="false" customHeight="false" outlineLevel="0" collapsed="false">
      <c r="A9" s="9" t="s">
        <v>13</v>
      </c>
      <c r="B9" s="16" t="n">
        <f aca="false">'Transaction Overview'!B9</f>
        <v>46219</v>
      </c>
      <c r="C9" s="14" t="s">
        <v>14</v>
      </c>
      <c r="D9" s="18" t="n">
        <f aca="false">'Sources &amp; Checks'!B42</f>
        <v>8</v>
      </c>
      <c r="E9" s="17" t="str">
        <f aca="false">"PTA Discount vs. Offer (PTA / Offer - 1) = "&amp;TEXT('PTA Valuation'!B40/'Transaction Overview'!B10-1,"0.0%")</f>
        <v>PTA Discount vs. Offer (PTA / Offer - 1) = -25.7%</v>
      </c>
      <c r="F9" s="17"/>
      <c r="G9" s="17"/>
      <c r="H9" s="17"/>
      <c r="I9" s="17"/>
      <c r="J9" s="17"/>
    </row>
    <row r="10" customFormat="false" ht="14.4" hidden="false" customHeight="false" outlineLevel="0" collapsed="false">
      <c r="A10" s="9" t="s">
        <v>15</v>
      </c>
      <c r="B10" s="19" t="n">
        <f aca="false">'Transaction Overview'!B10</f>
        <v>210</v>
      </c>
      <c r="C10" s="14" t="s">
        <v>16</v>
      </c>
      <c r="D10" s="15" t="n">
        <f aca="false">'Transaction Multiples'!B30</f>
        <v>2.40271652456986</v>
      </c>
      <c r="E10" s="20" t="s">
        <v>17</v>
      </c>
      <c r="F10" s="20" t="s">
        <v>18</v>
      </c>
      <c r="G10" s="3"/>
      <c r="H10" s="3"/>
      <c r="I10" s="3"/>
      <c r="J10" s="3"/>
    </row>
    <row r="11" customFormat="false" ht="14.4" hidden="false" customHeight="false" outlineLevel="0" collapsed="false">
      <c r="A11" s="9" t="s">
        <v>19</v>
      </c>
      <c r="B11" s="19" t="n">
        <f aca="false">'Transaction Overview'!B11</f>
        <v>171.65</v>
      </c>
      <c r="C11" s="14" t="s">
        <v>20</v>
      </c>
      <c r="D11" s="15" t="n">
        <f aca="false">'Transaction Multiples'!C30</f>
        <v>11.8064380572828</v>
      </c>
      <c r="E11" s="11" t="s">
        <v>21</v>
      </c>
      <c r="F11" s="21" t="n">
        <f aca="false">'Transaction Overview'!B11</f>
        <v>171.65</v>
      </c>
      <c r="G11" s="3"/>
      <c r="H11" s="3"/>
      <c r="I11" s="3"/>
      <c r="J11" s="3"/>
    </row>
    <row r="12" customFormat="false" ht="14.4" hidden="false" customHeight="false" outlineLevel="0" collapsed="false">
      <c r="A12" s="9" t="s">
        <v>22</v>
      </c>
      <c r="B12" s="22" t="n">
        <f aca="false">'Transaction Overview'!B12</f>
        <v>0.223419749490242</v>
      </c>
      <c r="C12" s="14" t="s">
        <v>23</v>
      </c>
      <c r="D12" s="23" t="n">
        <f aca="false">'Premium Analysis'!B23</f>
        <v>0.440889916485075</v>
      </c>
      <c r="E12" s="14" t="s">
        <v>24</v>
      </c>
      <c r="F12" s="24" t="n">
        <f aca="false">'PTA Valuation'!B40</f>
        <v>156.033533698912</v>
      </c>
      <c r="G12" s="3"/>
      <c r="H12" s="3"/>
      <c r="I12" s="3"/>
      <c r="J12" s="3"/>
    </row>
    <row r="13" customFormat="false" ht="14.4" hidden="false" customHeight="false" outlineLevel="0" collapsed="false">
      <c r="A13" s="9" t="s">
        <v>25</v>
      </c>
      <c r="B13" s="25" t="n">
        <f aca="false">'Transaction Overview'!B14</f>
        <v>13600</v>
      </c>
      <c r="C13" s="14" t="s">
        <v>26</v>
      </c>
      <c r="D13" s="26" t="n">
        <f aca="false">'PTA Valuation'!B40</f>
        <v>156.033533698912</v>
      </c>
      <c r="E13" s="14" t="s">
        <v>27</v>
      </c>
      <c r="F13" s="24" t="n">
        <f aca="false">'Transaction Overview'!B10</f>
        <v>210</v>
      </c>
      <c r="G13" s="3"/>
      <c r="H13" s="3"/>
      <c r="I13" s="3"/>
      <c r="J13" s="3"/>
    </row>
    <row r="14" customFormat="false" ht="23.85" hidden="false" customHeight="false" outlineLevel="0" collapsed="false">
      <c r="A14" s="9" t="s">
        <v>28</v>
      </c>
      <c r="B14" s="25" t="n">
        <f aca="false">'Transaction Overview'!B13</f>
        <v>10267</v>
      </c>
      <c r="C14" s="14" t="s">
        <v>29</v>
      </c>
      <c r="D14" s="27" t="n">
        <f aca="false">$B$10/D13-1</f>
        <v>0.345864539639435</v>
      </c>
      <c r="E14" s="3"/>
      <c r="F14" s="3"/>
      <c r="G14" s="3"/>
      <c r="H14" s="3"/>
      <c r="I14" s="3"/>
      <c r="J14" s="3"/>
    </row>
    <row r="15" customFormat="false" ht="14.4" hidden="false" customHeight="false" outlineLevel="0" collapsed="false">
      <c r="A15" s="28"/>
      <c r="B15" s="29"/>
      <c r="C15" s="30" t="s">
        <v>30</v>
      </c>
      <c r="D15" s="31" t="n">
        <f aca="false">$B$11/D13-1</f>
        <v>0.100084039186233</v>
      </c>
      <c r="E15" s="3"/>
      <c r="F15" s="3"/>
      <c r="G15" s="3"/>
      <c r="H15" s="3"/>
      <c r="I15" s="3"/>
      <c r="J15" s="3"/>
    </row>
    <row r="16" customFormat="false" ht="19.5" hidden="false" customHeight="true" outlineLevel="0" collapsed="false">
      <c r="A16" s="4" t="s">
        <v>31</v>
      </c>
      <c r="B16" s="4"/>
      <c r="C16" s="4"/>
      <c r="D16" s="4"/>
      <c r="E16" s="4"/>
      <c r="F16" s="4"/>
      <c r="G16" s="4"/>
      <c r="H16" s="4"/>
      <c r="I16" s="4"/>
      <c r="J16" s="4"/>
    </row>
    <row r="17" customFormat="false" ht="24" hidden="false" customHeight="true" outlineLevel="0" collapsed="false">
      <c r="A17" s="32" t="s">
        <v>32</v>
      </c>
      <c r="B17" s="32" t="s">
        <v>33</v>
      </c>
      <c r="C17" s="32" t="s">
        <v>34</v>
      </c>
      <c r="D17" s="32" t="s">
        <v>35</v>
      </c>
      <c r="E17" s="3"/>
      <c r="F17" s="3"/>
      <c r="G17" s="3"/>
      <c r="H17" s="3"/>
      <c r="I17" s="3"/>
      <c r="J17" s="3"/>
    </row>
    <row r="18" customFormat="false" ht="14.4" hidden="false" customHeight="false" outlineLevel="0" collapsed="false">
      <c r="A18" s="33" t="s">
        <v>36</v>
      </c>
      <c r="B18" s="34" t="n">
        <f aca="false">'PTA Valuation'!I17</f>
        <v>102.726621265033</v>
      </c>
      <c r="C18" s="34" t="n">
        <f aca="false">'PTA Valuation'!I18</f>
        <v>135.908020300221</v>
      </c>
      <c r="D18" s="34" t="n">
        <f aca="false">'PTA Valuation'!I19</f>
        <v>148.64042878683</v>
      </c>
      <c r="E18" s="3"/>
      <c r="F18" s="3"/>
      <c r="G18" s="3"/>
      <c r="H18" s="3"/>
      <c r="I18" s="3"/>
      <c r="J18" s="3"/>
    </row>
    <row r="19" customFormat="false" ht="14.4" hidden="false" customHeight="false" outlineLevel="0" collapsed="false">
      <c r="A19" s="33" t="s">
        <v>37</v>
      </c>
      <c r="B19" s="34" t="n">
        <f aca="false">'PTA Valuation'!I25</f>
        <v>155.729474950606</v>
      </c>
      <c r="C19" s="34" t="n">
        <f aca="false">'PTA Valuation'!I26</f>
        <v>176.159047097602</v>
      </c>
      <c r="D19" s="34" t="n">
        <f aca="false">'PTA Valuation'!I27</f>
        <v>206.252511951274</v>
      </c>
      <c r="E19" s="3"/>
      <c r="F19" s="3"/>
      <c r="G19" s="3"/>
      <c r="H19" s="3"/>
      <c r="I19" s="3"/>
      <c r="J19" s="3"/>
    </row>
    <row r="20" customFormat="false" ht="14.4" hidden="false" customHeight="false" outlineLevel="0" collapsed="false">
      <c r="A20" s="35" t="s">
        <v>38</v>
      </c>
      <c r="B20" s="36" t="n">
        <f aca="false">'PTA Valuation'!H34</f>
        <v>129.22804810782</v>
      </c>
      <c r="C20" s="36" t="n">
        <f aca="false">'PTA Valuation'!I34</f>
        <v>156.033533698912</v>
      </c>
      <c r="D20" s="36" t="n">
        <f aca="false">'PTA Valuation'!J34</f>
        <v>177.446470369052</v>
      </c>
      <c r="E20" s="3"/>
      <c r="F20" s="3"/>
      <c r="G20" s="3"/>
      <c r="H20" s="3"/>
      <c r="I20" s="3"/>
      <c r="J20" s="3"/>
    </row>
    <row r="21" customFormat="false" ht="14.4" hidden="false" customHeight="false" outlineLevel="0" collapsed="false">
      <c r="A21" s="3"/>
      <c r="B21" s="3"/>
      <c r="C21" s="3"/>
      <c r="D21" s="3"/>
      <c r="E21" s="3"/>
      <c r="F21" s="3"/>
      <c r="G21" s="3"/>
      <c r="H21" s="3"/>
      <c r="I21" s="3"/>
      <c r="J21" s="3"/>
    </row>
    <row r="22" customFormat="false" ht="19.5" hidden="false" customHeight="true" outlineLevel="0" collapsed="false">
      <c r="A22" s="4" t="s">
        <v>39</v>
      </c>
      <c r="B22" s="4"/>
      <c r="C22" s="4"/>
      <c r="D22" s="4"/>
      <c r="E22" s="4"/>
      <c r="F22" s="4"/>
      <c r="G22" s="4"/>
      <c r="H22" s="4"/>
      <c r="I22" s="4"/>
      <c r="J22" s="4"/>
    </row>
    <row r="23" customFormat="false" ht="24" hidden="false" customHeight="true" outlineLevel="0" collapsed="false">
      <c r="A23" s="32" t="s">
        <v>40</v>
      </c>
      <c r="B23" s="32" t="s">
        <v>4</v>
      </c>
      <c r="C23" s="32" t="s">
        <v>41</v>
      </c>
      <c r="D23" s="3"/>
      <c r="E23" s="3"/>
      <c r="F23" s="3"/>
      <c r="G23" s="3"/>
      <c r="H23" s="3"/>
      <c r="I23" s="3"/>
      <c r="J23" s="3"/>
    </row>
    <row r="24" customFormat="false" ht="23.85" hidden="false" customHeight="false" outlineLevel="0" collapsed="false">
      <c r="A24" s="33" t="s">
        <v>42</v>
      </c>
      <c r="B24" s="37" t="n">
        <f aca="false">'PTA Valuation'!B40</f>
        <v>156.033533698912</v>
      </c>
      <c r="C24" s="33" t="s">
        <v>43</v>
      </c>
      <c r="D24" s="3"/>
      <c r="E24" s="3"/>
      <c r="F24" s="3"/>
      <c r="G24" s="3"/>
      <c r="H24" s="3"/>
      <c r="I24" s="3"/>
      <c r="J24" s="3"/>
    </row>
    <row r="25" customFormat="false" ht="14.4" hidden="false" customHeight="false" outlineLevel="0" collapsed="false">
      <c r="A25" s="33" t="s">
        <v>44</v>
      </c>
      <c r="B25" s="38" t="n">
        <f aca="false">'PTA Valuation'!B41</f>
        <v>-0.0909785394761917</v>
      </c>
      <c r="C25" s="33" t="s">
        <v>45</v>
      </c>
      <c r="D25" s="3"/>
      <c r="E25" s="3"/>
      <c r="F25" s="3"/>
      <c r="G25" s="3"/>
      <c r="H25" s="3"/>
      <c r="I25" s="3"/>
      <c r="J25" s="3"/>
    </row>
    <row r="26" customFormat="false" ht="14.4" hidden="false" customHeight="false" outlineLevel="0" collapsed="false">
      <c r="A26" s="33" t="s">
        <v>46</v>
      </c>
      <c r="B26" s="38" t="n">
        <f aca="false">'PTA Valuation'!B42</f>
        <v>-0.256983172862325</v>
      </c>
      <c r="C26" s="33" t="s">
        <v>47</v>
      </c>
      <c r="D26" s="3"/>
      <c r="E26" s="3"/>
      <c r="F26" s="3"/>
      <c r="G26" s="3"/>
      <c r="H26" s="3"/>
      <c r="I26" s="3"/>
      <c r="J26" s="3"/>
    </row>
    <row r="27" customFormat="false" ht="14.4" hidden="false" customHeight="false" outlineLevel="0" collapsed="false">
      <c r="A27" s="3"/>
      <c r="B27" s="3"/>
      <c r="C27" s="3"/>
      <c r="D27" s="3"/>
      <c r="E27" s="3"/>
      <c r="F27" s="3"/>
      <c r="G27" s="3"/>
      <c r="H27" s="3"/>
      <c r="I27" s="3"/>
      <c r="J27" s="3"/>
    </row>
    <row r="28" customFormat="false" ht="19.5" hidden="false" customHeight="true" outlineLevel="0" collapsed="false">
      <c r="A28" s="4" t="s">
        <v>48</v>
      </c>
      <c r="B28" s="4"/>
      <c r="C28" s="4"/>
      <c r="D28" s="4"/>
      <c r="E28" s="4"/>
      <c r="F28" s="4"/>
      <c r="G28" s="4"/>
      <c r="H28" s="4"/>
      <c r="I28" s="4"/>
      <c r="J28" s="4"/>
    </row>
    <row r="29" customFormat="false" ht="24" hidden="false" customHeight="true" outlineLevel="0" collapsed="false">
      <c r="A29" s="32" t="s">
        <v>49</v>
      </c>
      <c r="B29" s="32" t="s">
        <v>4</v>
      </c>
      <c r="C29" s="3"/>
      <c r="D29" s="3"/>
      <c r="E29" s="3"/>
      <c r="F29" s="3"/>
      <c r="G29" s="3"/>
      <c r="H29" s="3"/>
      <c r="I29" s="3"/>
      <c r="J29" s="3"/>
    </row>
    <row r="30" customFormat="false" ht="14.4" hidden="false" customHeight="false" outlineLevel="0" collapsed="false">
      <c r="A30" s="33" t="s">
        <v>14</v>
      </c>
      <c r="B30" s="39" t="n">
        <f aca="false">'Sources &amp; Checks'!B42</f>
        <v>8</v>
      </c>
      <c r="C30" s="3"/>
      <c r="D30" s="3"/>
      <c r="E30" s="3"/>
      <c r="F30" s="3"/>
      <c r="G30" s="3"/>
      <c r="H30" s="3"/>
      <c r="I30" s="3"/>
      <c r="J30" s="3"/>
    </row>
    <row r="31" customFormat="false" ht="14.4" hidden="false" customHeight="false" outlineLevel="0" collapsed="false">
      <c r="A31" s="33" t="s">
        <v>16</v>
      </c>
      <c r="B31" s="40" t="n">
        <f aca="false">'Transaction Multiples'!B30</f>
        <v>2.40271652456986</v>
      </c>
      <c r="C31" s="3"/>
      <c r="D31" s="3"/>
      <c r="E31" s="3"/>
      <c r="F31" s="3"/>
      <c r="G31" s="3"/>
      <c r="H31" s="3"/>
      <c r="I31" s="3"/>
      <c r="J31" s="3"/>
    </row>
    <row r="32" customFormat="false" ht="14.4" hidden="false" customHeight="false" outlineLevel="0" collapsed="false">
      <c r="A32" s="33" t="s">
        <v>20</v>
      </c>
      <c r="B32" s="40" t="n">
        <f aca="false">'Transaction Multiples'!C30</f>
        <v>11.8064380572828</v>
      </c>
      <c r="C32" s="3"/>
      <c r="D32" s="3"/>
      <c r="E32" s="3"/>
      <c r="F32" s="3"/>
      <c r="G32" s="3"/>
      <c r="H32" s="3"/>
      <c r="I32" s="3"/>
      <c r="J32" s="3"/>
    </row>
    <row r="33" customFormat="false" ht="14.4" hidden="false" customHeight="false" outlineLevel="0" collapsed="false">
      <c r="A33" s="33" t="s">
        <v>50</v>
      </c>
      <c r="B33" s="41" t="n">
        <f aca="false">'Transaction Multiples'!D30</f>
        <v>0.440889916485075</v>
      </c>
      <c r="C33" s="3"/>
      <c r="D33" s="3"/>
      <c r="E33" s="3"/>
      <c r="F33" s="3"/>
      <c r="G33" s="3"/>
      <c r="H33" s="3"/>
      <c r="I33" s="3"/>
      <c r="J33" s="3"/>
    </row>
    <row r="34" customFormat="false" ht="14.4" hidden="false" customHeight="false" outlineLevel="0" collapsed="false">
      <c r="A34" s="35" t="s">
        <v>51</v>
      </c>
      <c r="B34" s="42" t="str">
        <f aca="false">'Sources &amp; Checks'!B65</f>
        <v>PASS</v>
      </c>
      <c r="C34" s="3"/>
      <c r="D34" s="3"/>
      <c r="E34" s="3"/>
      <c r="F34" s="3"/>
      <c r="G34" s="3"/>
      <c r="H34" s="3"/>
      <c r="I34" s="3"/>
      <c r="J34" s="3"/>
    </row>
    <row r="35" customFormat="false" ht="14.4" hidden="false" customHeight="false" outlineLevel="0" collapsed="false">
      <c r="A35" s="3"/>
      <c r="B35" s="3"/>
      <c r="C35" s="3"/>
      <c r="D35" s="3"/>
      <c r="E35" s="3"/>
      <c r="F35" s="3"/>
      <c r="G35" s="3"/>
      <c r="H35" s="3"/>
      <c r="I35" s="3"/>
      <c r="J35" s="3"/>
    </row>
    <row r="36" customFormat="false" ht="24" hidden="false" customHeight="true" outlineLevel="0" collapsed="false">
      <c r="A36" s="43" t="str">
        <f aca="false">"Offer premium of "&amp;TEXT('Premium Analysis'!B8,"0.0%")&amp;" is below the verified precedent 25th–75th range of "&amp;TEXT('Premium Analysis'!B22,"0.0%")&amp;"–"&amp;TEXT('Premium Analysis'!B24,"0.0%")&amp;"; precedent median is "&amp;TEXT('Premium Analysis'!B23,"0.0%")&amp;"."</f>
        <v>Offer premium of 22.3% is below the verified precedent 25th–75th range of 33.7%–52.8%; precedent median is 44.1%.</v>
      </c>
      <c r="B36" s="43"/>
      <c r="C36" s="43"/>
      <c r="D36" s="43"/>
      <c r="E36" s="43"/>
      <c r="F36" s="43"/>
      <c r="G36" s="43"/>
      <c r="H36" s="43"/>
      <c r="I36" s="43"/>
      <c r="J36" s="43"/>
    </row>
    <row r="37" customFormat="false" ht="34" hidden="false" customHeight="true" outlineLevel="0" collapsed="false">
      <c r="A37" s="43" t="s">
        <v>52</v>
      </c>
      <c r="B37" s="43"/>
      <c r="C37" s="43"/>
      <c r="D37" s="43"/>
      <c r="E37" s="43"/>
      <c r="F37" s="43"/>
      <c r="G37" s="43"/>
      <c r="H37" s="43"/>
      <c r="I37" s="43"/>
      <c r="J37" s="43"/>
    </row>
  </sheetData>
  <mergeCells count="13">
    <mergeCell ref="A1:J1"/>
    <mergeCell ref="A2:J2"/>
    <mergeCell ref="A4:J4"/>
    <mergeCell ref="E5:J5"/>
    <mergeCell ref="E6:J6"/>
    <mergeCell ref="E7:J7"/>
    <mergeCell ref="E8:J8"/>
    <mergeCell ref="E9:J9"/>
    <mergeCell ref="A16:J16"/>
    <mergeCell ref="A22:J22"/>
    <mergeCell ref="A28:J28"/>
    <mergeCell ref="A36:J36"/>
    <mergeCell ref="A37:J3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4" customHeight="false" zeroHeight="false" outlineLevelRow="0" outlineLevelCol="0"/>
  <cols>
    <col collapsed="false" customWidth="true" hidden="false" outlineLevel="0" max="1" min="1" style="0" width="30"/>
    <col collapsed="false" customWidth="true" hidden="false" outlineLevel="0" max="2" min="2" style="0" width="48"/>
    <col collapsed="false" customWidth="true" hidden="false" outlineLevel="0" max="3" min="3" style="0" width="28"/>
    <col collapsed="false" customWidth="true" hidden="false" outlineLevel="0" max="4" min="4" style="0" width="14"/>
    <col collapsed="false" customWidth="true" hidden="false" outlineLevel="0" max="12" min="5" style="0" width="9"/>
  </cols>
  <sheetData>
    <row r="1" customFormat="false" ht="25.5" hidden="false" customHeight="true" outlineLevel="0" collapsed="false">
      <c r="A1" s="1" t="s">
        <v>53</v>
      </c>
      <c r="B1" s="1"/>
      <c r="C1" s="1"/>
      <c r="D1" s="1"/>
      <c r="E1" s="1"/>
      <c r="F1" s="1"/>
      <c r="G1" s="1"/>
      <c r="H1" s="1"/>
      <c r="I1" s="1"/>
      <c r="J1" s="1"/>
      <c r="K1" s="1"/>
      <c r="L1" s="1"/>
    </row>
    <row r="2" customFormat="false" ht="18" hidden="false" customHeight="true" outlineLevel="0" collapsed="false">
      <c r="A2" s="2" t="s">
        <v>1</v>
      </c>
      <c r="B2" s="2"/>
      <c r="C2" s="2"/>
      <c r="D2" s="2"/>
      <c r="E2" s="2"/>
      <c r="F2" s="2"/>
      <c r="G2" s="2"/>
      <c r="H2" s="2"/>
      <c r="I2" s="2"/>
      <c r="J2" s="2"/>
      <c r="K2" s="2"/>
      <c r="L2" s="2"/>
    </row>
    <row r="3" customFormat="false" ht="15" hidden="false" customHeight="true" outlineLevel="0" collapsed="false">
      <c r="A3" s="33"/>
      <c r="B3" s="33"/>
      <c r="C3" s="33"/>
      <c r="D3" s="33"/>
      <c r="E3" s="33"/>
      <c r="F3" s="33"/>
      <c r="G3" s="33"/>
      <c r="H3" s="33"/>
      <c r="I3" s="33"/>
      <c r="J3" s="33"/>
      <c r="K3" s="33"/>
      <c r="L3" s="33"/>
    </row>
    <row r="4" customFormat="false" ht="19.5" hidden="false" customHeight="true" outlineLevel="0" collapsed="false">
      <c r="A4" s="44" t="s">
        <v>54</v>
      </c>
      <c r="B4" s="44"/>
      <c r="C4" s="44"/>
      <c r="D4" s="44"/>
      <c r="E4" s="44"/>
      <c r="F4" s="44"/>
      <c r="G4" s="44"/>
      <c r="H4" s="44"/>
      <c r="I4" s="44"/>
      <c r="J4" s="44"/>
      <c r="K4" s="44"/>
      <c r="L4" s="44"/>
    </row>
    <row r="5" customFormat="false" ht="24" hidden="false" customHeight="true" outlineLevel="0" collapsed="false">
      <c r="A5" s="45" t="s">
        <v>55</v>
      </c>
      <c r="B5" s="45" t="s">
        <v>4</v>
      </c>
      <c r="C5" s="45" t="s">
        <v>56</v>
      </c>
      <c r="D5" s="46" t="s">
        <v>57</v>
      </c>
      <c r="E5" s="33"/>
      <c r="F5" s="33"/>
      <c r="G5" s="33"/>
      <c r="H5" s="47" t="s">
        <v>58</v>
      </c>
      <c r="I5" s="47"/>
      <c r="J5" s="47"/>
      <c r="K5" s="47"/>
      <c r="L5" s="47"/>
    </row>
    <row r="6" customFormat="false" ht="16.5" hidden="false" customHeight="true" outlineLevel="0" collapsed="false">
      <c r="A6" s="48" t="s">
        <v>7</v>
      </c>
      <c r="B6" s="48" t="s">
        <v>59</v>
      </c>
      <c r="C6" s="48" t="s">
        <v>60</v>
      </c>
      <c r="D6" s="49" t="s">
        <v>61</v>
      </c>
      <c r="E6" s="33"/>
      <c r="F6" s="33"/>
      <c r="G6" s="33"/>
      <c r="H6" s="50" t="s">
        <v>62</v>
      </c>
      <c r="I6" s="51" t="s">
        <v>63</v>
      </c>
      <c r="J6" s="51"/>
      <c r="K6" s="51"/>
      <c r="L6" s="51"/>
    </row>
    <row r="7" customFormat="false" ht="16.5" hidden="false" customHeight="true" outlineLevel="0" collapsed="false">
      <c r="A7" s="52" t="s">
        <v>9</v>
      </c>
      <c r="B7" s="52" t="s">
        <v>64</v>
      </c>
      <c r="C7" s="52" t="s">
        <v>60</v>
      </c>
      <c r="D7" s="53" t="s">
        <v>61</v>
      </c>
      <c r="E7" s="33"/>
      <c r="F7" s="33"/>
      <c r="G7" s="33"/>
      <c r="H7" s="54" t="s">
        <v>65</v>
      </c>
      <c r="I7" s="55" t="s">
        <v>66</v>
      </c>
      <c r="J7" s="55"/>
      <c r="K7" s="55"/>
      <c r="L7" s="55"/>
    </row>
    <row r="8" customFormat="false" ht="16.5" hidden="false" customHeight="true" outlineLevel="0" collapsed="false">
      <c r="A8" s="52" t="s">
        <v>11</v>
      </c>
      <c r="B8" s="56" t="n">
        <v>45867</v>
      </c>
      <c r="C8" s="52" t="s">
        <v>60</v>
      </c>
      <c r="D8" s="53" t="s">
        <v>61</v>
      </c>
      <c r="E8" s="33"/>
      <c r="F8" s="33"/>
      <c r="G8" s="33"/>
      <c r="H8" s="57" t="s">
        <v>67</v>
      </c>
      <c r="I8" s="58" t="s">
        <v>68</v>
      </c>
      <c r="J8" s="58"/>
      <c r="K8" s="58"/>
      <c r="L8" s="58"/>
    </row>
    <row r="9" customFormat="false" ht="16.5" hidden="false" customHeight="true" outlineLevel="0" collapsed="false">
      <c r="A9" s="52" t="s">
        <v>13</v>
      </c>
      <c r="B9" s="56" t="n">
        <v>46219</v>
      </c>
      <c r="C9" s="52" t="s">
        <v>60</v>
      </c>
      <c r="D9" s="53" t="s">
        <v>69</v>
      </c>
      <c r="E9" s="33"/>
      <c r="F9" s="33"/>
      <c r="G9" s="33"/>
      <c r="H9" s="59" t="s">
        <v>70</v>
      </c>
      <c r="I9" s="58" t="s">
        <v>71</v>
      </c>
      <c r="J9" s="58"/>
      <c r="K9" s="58"/>
      <c r="L9" s="58"/>
    </row>
    <row r="10" customFormat="false" ht="15" hidden="false" customHeight="true" outlineLevel="0" collapsed="false">
      <c r="A10" s="52" t="s">
        <v>72</v>
      </c>
      <c r="B10" s="60" t="n">
        <v>210</v>
      </c>
      <c r="C10" s="52" t="s">
        <v>60</v>
      </c>
      <c r="D10" s="53" t="s">
        <v>61</v>
      </c>
      <c r="E10" s="33"/>
      <c r="F10" s="33"/>
      <c r="G10" s="33"/>
      <c r="H10" s="33"/>
      <c r="I10" s="33"/>
      <c r="J10" s="33"/>
      <c r="K10" s="33"/>
      <c r="L10" s="33"/>
    </row>
    <row r="11" customFormat="false" ht="15" hidden="false" customHeight="true" outlineLevel="0" collapsed="false">
      <c r="A11" s="52" t="s">
        <v>73</v>
      </c>
      <c r="B11" s="60" t="n">
        <v>171.65</v>
      </c>
      <c r="C11" s="52" t="s">
        <v>74</v>
      </c>
      <c r="D11" s="53" t="s">
        <v>75</v>
      </c>
      <c r="E11" s="33"/>
      <c r="F11" s="33"/>
      <c r="G11" s="33"/>
      <c r="H11" s="33"/>
      <c r="I11" s="33"/>
      <c r="J11" s="33"/>
      <c r="K11" s="33"/>
      <c r="L11" s="33"/>
    </row>
    <row r="12" customFormat="false" ht="15" hidden="false" customHeight="true" outlineLevel="0" collapsed="false">
      <c r="A12" s="52" t="s">
        <v>22</v>
      </c>
      <c r="B12" s="61" t="n">
        <f aca="false">B10/B11-1</f>
        <v>0.223419749490242</v>
      </c>
      <c r="C12" s="52" t="s">
        <v>76</v>
      </c>
      <c r="D12" s="53" t="s">
        <v>75</v>
      </c>
      <c r="E12" s="33"/>
      <c r="F12" s="33"/>
      <c r="G12" s="33"/>
      <c r="H12" s="33"/>
      <c r="I12" s="33"/>
      <c r="J12" s="33"/>
      <c r="K12" s="33"/>
      <c r="L12" s="33"/>
    </row>
    <row r="13" customFormat="false" ht="23.85" hidden="false" customHeight="true" outlineLevel="0" collapsed="false">
      <c r="A13" s="52" t="s">
        <v>77</v>
      </c>
      <c r="B13" s="62" t="n">
        <f aca="false">B14-B17</f>
        <v>10267</v>
      </c>
      <c r="C13" s="52" t="s">
        <v>78</v>
      </c>
      <c r="D13" s="53" t="s">
        <v>79</v>
      </c>
      <c r="E13" s="63" t="s">
        <v>80</v>
      </c>
      <c r="F13" s="63"/>
      <c r="G13" s="63"/>
      <c r="H13" s="63"/>
      <c r="I13" s="63"/>
      <c r="J13" s="63"/>
      <c r="K13" s="63"/>
      <c r="L13" s="63"/>
    </row>
    <row r="14" customFormat="false" ht="15" hidden="false" customHeight="true" outlineLevel="0" collapsed="false">
      <c r="A14" s="52" t="s">
        <v>81</v>
      </c>
      <c r="B14" s="62" t="n">
        <v>13600</v>
      </c>
      <c r="C14" s="52" t="s">
        <v>60</v>
      </c>
      <c r="D14" s="53" t="s">
        <v>61</v>
      </c>
      <c r="E14" s="33"/>
      <c r="F14" s="33"/>
      <c r="G14" s="33"/>
      <c r="H14" s="33"/>
      <c r="I14" s="33"/>
      <c r="J14" s="33"/>
      <c r="K14" s="33"/>
      <c r="L14" s="33"/>
    </row>
    <row r="15" customFormat="false" ht="15" hidden="false" customHeight="true" outlineLevel="0" collapsed="false">
      <c r="A15" s="52" t="s">
        <v>82</v>
      </c>
      <c r="B15" s="62" t="n">
        <v>3641.6</v>
      </c>
      <c r="C15" s="52" t="s">
        <v>83</v>
      </c>
      <c r="D15" s="53" t="s">
        <v>84</v>
      </c>
      <c r="E15" s="33"/>
      <c r="F15" s="33"/>
      <c r="G15" s="33"/>
      <c r="H15" s="33"/>
      <c r="I15" s="33"/>
      <c r="J15" s="33"/>
      <c r="K15" s="33"/>
      <c r="L15" s="33"/>
    </row>
    <row r="16" customFormat="false" ht="15" hidden="false" customHeight="true" outlineLevel="0" collapsed="false">
      <c r="A16" s="52" t="s">
        <v>85</v>
      </c>
      <c r="B16" s="62" t="n">
        <v>308.6</v>
      </c>
      <c r="C16" s="52" t="s">
        <v>83</v>
      </c>
      <c r="D16" s="53" t="s">
        <v>84</v>
      </c>
      <c r="E16" s="33"/>
      <c r="F16" s="33"/>
      <c r="G16" s="33"/>
      <c r="H16" s="33"/>
      <c r="I16" s="33"/>
      <c r="J16" s="33"/>
      <c r="K16" s="33"/>
      <c r="L16" s="33"/>
    </row>
    <row r="17" customFormat="false" ht="15" hidden="false" customHeight="true" outlineLevel="0" collapsed="false">
      <c r="A17" s="52" t="s">
        <v>86</v>
      </c>
      <c r="B17" s="62" t="n">
        <f aca="false">B15-B16</f>
        <v>3333</v>
      </c>
      <c r="C17" s="52" t="s">
        <v>76</v>
      </c>
      <c r="D17" s="53" t="s">
        <v>84</v>
      </c>
      <c r="E17" s="33"/>
      <c r="F17" s="33"/>
      <c r="G17" s="33"/>
      <c r="H17" s="33"/>
      <c r="I17" s="33"/>
      <c r="J17" s="33"/>
      <c r="K17" s="33"/>
      <c r="L17" s="33"/>
    </row>
    <row r="18" customFormat="false" ht="15" hidden="false" customHeight="true" outlineLevel="0" collapsed="false">
      <c r="A18" s="52" t="s">
        <v>87</v>
      </c>
      <c r="B18" s="52" t="s">
        <v>88</v>
      </c>
      <c r="C18" s="52" t="s">
        <v>60</v>
      </c>
      <c r="D18" s="53" t="s">
        <v>61</v>
      </c>
      <c r="E18" s="33"/>
      <c r="F18" s="33"/>
      <c r="G18" s="33"/>
      <c r="H18" s="33"/>
      <c r="I18" s="33"/>
      <c r="J18" s="33"/>
      <c r="K18" s="33"/>
      <c r="L18" s="33"/>
    </row>
    <row r="19" customFormat="false" ht="23.85" hidden="false" customHeight="false" outlineLevel="0" collapsed="false">
      <c r="A19" s="52" t="s">
        <v>89</v>
      </c>
      <c r="B19" s="52" t="s">
        <v>90</v>
      </c>
      <c r="C19" s="52" t="s">
        <v>60</v>
      </c>
      <c r="D19" s="53" t="s">
        <v>91</v>
      </c>
      <c r="E19" s="33"/>
      <c r="F19" s="33"/>
      <c r="G19" s="33"/>
      <c r="H19" s="33"/>
      <c r="I19" s="33"/>
      <c r="J19" s="33"/>
      <c r="K19" s="33"/>
      <c r="L19" s="33"/>
    </row>
    <row r="20" customFormat="false" ht="15" hidden="false" customHeight="true" outlineLevel="0" collapsed="false">
      <c r="A20" s="52" t="s">
        <v>92</v>
      </c>
      <c r="B20" s="64" t="n">
        <v>325</v>
      </c>
      <c r="C20" s="52" t="s">
        <v>93</v>
      </c>
      <c r="D20" s="53" t="s">
        <v>61</v>
      </c>
      <c r="E20" s="33"/>
      <c r="F20" s="33"/>
      <c r="G20" s="33"/>
      <c r="H20" s="33"/>
      <c r="I20" s="33"/>
      <c r="J20" s="33"/>
      <c r="K20" s="33"/>
      <c r="L20" s="33"/>
    </row>
    <row r="21" customFormat="false" ht="15" hidden="false" customHeight="true" outlineLevel="0" collapsed="false">
      <c r="A21" s="52" t="s">
        <v>94</v>
      </c>
      <c r="B21" s="65" t="n">
        <v>2.25</v>
      </c>
      <c r="C21" s="52" t="s">
        <v>60</v>
      </c>
      <c r="D21" s="53" t="s">
        <v>61</v>
      </c>
      <c r="E21" s="33"/>
      <c r="F21" s="33"/>
      <c r="G21" s="33"/>
      <c r="H21" s="33"/>
      <c r="I21" s="33"/>
      <c r="J21" s="33"/>
      <c r="K21" s="33"/>
      <c r="L21" s="33"/>
    </row>
    <row r="22" customFormat="false" ht="15" hidden="false" customHeight="true" outlineLevel="0" collapsed="false">
      <c r="A22" s="52" t="s">
        <v>95</v>
      </c>
      <c r="B22" s="52" t="s">
        <v>96</v>
      </c>
      <c r="C22" s="52" t="s">
        <v>60</v>
      </c>
      <c r="D22" s="53" t="s">
        <v>61</v>
      </c>
      <c r="E22" s="33"/>
      <c r="F22" s="33"/>
      <c r="G22" s="33"/>
      <c r="H22" s="33"/>
      <c r="I22" s="33"/>
      <c r="J22" s="33"/>
      <c r="K22" s="33"/>
      <c r="L22" s="33"/>
    </row>
    <row r="23" customFormat="false" ht="23.85" hidden="false" customHeight="false" outlineLevel="0" collapsed="false">
      <c r="A23" s="52" t="s">
        <v>97</v>
      </c>
      <c r="B23" s="52" t="s">
        <v>98</v>
      </c>
      <c r="C23" s="52" t="s">
        <v>99</v>
      </c>
      <c r="D23" s="53" t="s">
        <v>100</v>
      </c>
      <c r="E23" s="33"/>
      <c r="F23" s="33"/>
      <c r="G23" s="33"/>
      <c r="H23" s="33"/>
      <c r="I23" s="33"/>
      <c r="J23" s="33"/>
      <c r="K23" s="33"/>
      <c r="L23" s="33"/>
    </row>
    <row r="24" customFormat="false" ht="15" hidden="false" customHeight="true" outlineLevel="0" collapsed="false">
      <c r="A24" s="52" t="s">
        <v>101</v>
      </c>
      <c r="B24" s="66" t="n">
        <f aca="false">B14/'Target Financials'!D6</f>
        <v>3.26899502439728</v>
      </c>
      <c r="C24" s="52" t="s">
        <v>102</v>
      </c>
      <c r="D24" s="53" t="s">
        <v>79</v>
      </c>
      <c r="E24" s="33"/>
      <c r="F24" s="33"/>
      <c r="G24" s="33"/>
      <c r="H24" s="33"/>
      <c r="I24" s="33"/>
      <c r="J24" s="33"/>
      <c r="K24" s="33"/>
      <c r="L24" s="33"/>
    </row>
    <row r="25" customFormat="false" ht="15" hidden="false" customHeight="true" outlineLevel="0" collapsed="false">
      <c r="A25" s="52" t="s">
        <v>103</v>
      </c>
      <c r="B25" s="66" t="n">
        <f aca="false">B14/'Target Financials'!D11</f>
        <v>13.4148747287433</v>
      </c>
      <c r="C25" s="52" t="s">
        <v>102</v>
      </c>
      <c r="D25" s="53" t="s">
        <v>79</v>
      </c>
      <c r="E25" s="33"/>
      <c r="F25" s="33"/>
      <c r="G25" s="33"/>
      <c r="H25" s="33"/>
      <c r="I25" s="33"/>
      <c r="J25" s="33"/>
      <c r="K25" s="33"/>
      <c r="L25" s="33"/>
    </row>
    <row r="26" customFormat="false" ht="23.85" hidden="false" customHeight="false" outlineLevel="0" collapsed="false">
      <c r="A26" s="52" t="s">
        <v>104</v>
      </c>
      <c r="B26" s="52" t="s">
        <v>105</v>
      </c>
      <c r="C26" s="52" t="s">
        <v>106</v>
      </c>
      <c r="D26" s="53" t="s">
        <v>61</v>
      </c>
      <c r="E26" s="33"/>
      <c r="F26" s="33"/>
      <c r="G26" s="33"/>
      <c r="H26" s="33"/>
      <c r="I26" s="33"/>
      <c r="J26" s="33"/>
      <c r="K26" s="33"/>
      <c r="L26" s="33"/>
    </row>
    <row r="27" customFormat="false" ht="15" hidden="false" customHeight="true" outlineLevel="0" collapsed="false">
      <c r="A27" s="48" t="s">
        <v>8</v>
      </c>
      <c r="B27" s="48" t="s">
        <v>107</v>
      </c>
      <c r="C27" s="48" t="s">
        <v>60</v>
      </c>
      <c r="D27" s="48" t="s">
        <v>69</v>
      </c>
      <c r="E27" s="33"/>
      <c r="F27" s="33"/>
      <c r="G27" s="33"/>
      <c r="H27" s="33"/>
      <c r="I27" s="33"/>
      <c r="J27" s="33"/>
      <c r="K27" s="33"/>
      <c r="L27" s="33"/>
    </row>
    <row r="28" customFormat="false" ht="15" hidden="false" customHeight="true" outlineLevel="0" collapsed="false">
      <c r="A28" s="33"/>
      <c r="B28" s="33"/>
      <c r="C28" s="33"/>
      <c r="D28" s="33"/>
      <c r="E28" s="33"/>
      <c r="F28" s="33"/>
      <c r="G28" s="33"/>
      <c r="H28" s="33"/>
      <c r="I28" s="33"/>
      <c r="J28" s="33"/>
      <c r="K28" s="33"/>
      <c r="L28" s="33"/>
    </row>
    <row r="29" customFormat="false" ht="19.5" hidden="false" customHeight="true" outlineLevel="0" collapsed="false">
      <c r="A29" s="44" t="s">
        <v>108</v>
      </c>
      <c r="B29" s="44"/>
      <c r="C29" s="44"/>
      <c r="D29" s="44"/>
      <c r="E29" s="44"/>
      <c r="F29" s="44"/>
      <c r="G29" s="44"/>
      <c r="H29" s="44"/>
      <c r="I29" s="44"/>
      <c r="J29" s="44"/>
      <c r="K29" s="44"/>
      <c r="L29" s="44"/>
    </row>
    <row r="30" customFormat="false" ht="24" hidden="false" customHeight="true" outlineLevel="0" collapsed="false">
      <c r="A30" s="45" t="s">
        <v>109</v>
      </c>
      <c r="B30" s="45" t="s">
        <v>110</v>
      </c>
      <c r="C30" s="45" t="s">
        <v>111</v>
      </c>
      <c r="D30" s="46" t="s">
        <v>57</v>
      </c>
      <c r="E30" s="33"/>
      <c r="F30" s="33"/>
      <c r="G30" s="33"/>
      <c r="H30" s="33"/>
      <c r="I30" s="33"/>
      <c r="J30" s="33"/>
      <c r="K30" s="33"/>
      <c r="L30" s="33"/>
    </row>
    <row r="31" customFormat="false" ht="23.85" hidden="false" customHeight="false" outlineLevel="0" collapsed="false">
      <c r="A31" s="48" t="s">
        <v>112</v>
      </c>
      <c r="B31" s="48" t="s">
        <v>113</v>
      </c>
      <c r="C31" s="48" t="s">
        <v>114</v>
      </c>
      <c r="D31" s="49" t="s">
        <v>61</v>
      </c>
      <c r="E31" s="33"/>
      <c r="F31" s="33"/>
      <c r="G31" s="33"/>
      <c r="H31" s="33"/>
      <c r="I31" s="33"/>
      <c r="J31" s="33"/>
      <c r="K31" s="33"/>
      <c r="L31" s="33"/>
    </row>
    <row r="32" customFormat="false" ht="23.85" hidden="false" customHeight="false" outlineLevel="0" collapsed="false">
      <c r="A32" s="52" t="s">
        <v>115</v>
      </c>
      <c r="B32" s="52" t="s">
        <v>116</v>
      </c>
      <c r="C32" s="52" t="s">
        <v>114</v>
      </c>
      <c r="D32" s="53" t="s">
        <v>61</v>
      </c>
      <c r="E32" s="33"/>
      <c r="F32" s="33"/>
      <c r="G32" s="33"/>
      <c r="H32" s="33"/>
      <c r="I32" s="33"/>
      <c r="J32" s="33"/>
      <c r="K32" s="33"/>
      <c r="L32" s="33"/>
    </row>
    <row r="33" customFormat="false" ht="23.85" hidden="false" customHeight="false" outlineLevel="0" collapsed="false">
      <c r="A33" s="52" t="s">
        <v>117</v>
      </c>
      <c r="B33" s="52" t="s">
        <v>118</v>
      </c>
      <c r="C33" s="52" t="s">
        <v>114</v>
      </c>
      <c r="D33" s="53" t="s">
        <v>61</v>
      </c>
      <c r="E33" s="33"/>
      <c r="F33" s="33"/>
      <c r="G33" s="33"/>
      <c r="H33" s="33"/>
      <c r="I33" s="33"/>
      <c r="J33" s="33"/>
      <c r="K33" s="33"/>
      <c r="L33" s="33"/>
    </row>
    <row r="34" customFormat="false" ht="35.05" hidden="false" customHeight="false" outlineLevel="0" collapsed="false">
      <c r="A34" s="52" t="s">
        <v>119</v>
      </c>
      <c r="B34" s="52" t="s">
        <v>120</v>
      </c>
      <c r="C34" s="52" t="s">
        <v>121</v>
      </c>
      <c r="D34" s="53" t="s">
        <v>100</v>
      </c>
      <c r="E34" s="33"/>
      <c r="F34" s="33"/>
      <c r="G34" s="33"/>
      <c r="H34" s="33"/>
      <c r="I34" s="33"/>
      <c r="J34" s="33"/>
      <c r="K34" s="33"/>
      <c r="L34" s="33"/>
    </row>
    <row r="35" customFormat="false" ht="15" hidden="false" customHeight="true" outlineLevel="0" collapsed="false">
      <c r="A35" s="33"/>
      <c r="B35" s="33"/>
      <c r="C35" s="33"/>
      <c r="D35" s="33"/>
      <c r="E35" s="33"/>
      <c r="F35" s="33"/>
      <c r="G35" s="33"/>
      <c r="H35" s="33"/>
      <c r="I35" s="33"/>
      <c r="J35" s="33"/>
      <c r="K35" s="33"/>
      <c r="L35" s="33"/>
    </row>
    <row r="36" customFormat="false" ht="15" hidden="false" customHeight="true" outlineLevel="0" collapsed="false">
      <c r="A36" s="63" t="s">
        <v>122</v>
      </c>
      <c r="B36" s="63"/>
      <c r="C36" s="63"/>
      <c r="D36" s="63"/>
      <c r="E36" s="63"/>
      <c r="F36" s="63"/>
      <c r="G36" s="63"/>
      <c r="H36" s="63"/>
      <c r="I36" s="63"/>
      <c r="J36" s="63"/>
      <c r="K36" s="63"/>
      <c r="L36" s="63"/>
    </row>
    <row r="37" customFormat="false" ht="15" hidden="false" customHeight="true" outlineLevel="0" collapsed="false">
      <c r="A37" s="63"/>
      <c r="B37" s="63"/>
      <c r="C37" s="63"/>
      <c r="D37" s="63"/>
      <c r="E37" s="63"/>
      <c r="F37" s="63"/>
      <c r="G37" s="63"/>
      <c r="H37" s="63"/>
      <c r="I37" s="63"/>
      <c r="J37" s="63"/>
      <c r="K37" s="63"/>
      <c r="L37" s="63"/>
    </row>
    <row r="38" customFormat="false" ht="15" hidden="false" customHeight="true" outlineLevel="0" collapsed="false">
      <c r="A38" s="63"/>
      <c r="B38" s="63"/>
      <c r="C38" s="63"/>
      <c r="D38" s="63"/>
      <c r="E38" s="63"/>
      <c r="F38" s="63"/>
      <c r="G38" s="63"/>
      <c r="H38" s="63"/>
      <c r="I38" s="63"/>
      <c r="J38" s="63"/>
      <c r="K38" s="63"/>
      <c r="L38" s="63"/>
    </row>
    <row r="39" customFormat="false" ht="14.4" hidden="false" customHeight="false" outlineLevel="0" collapsed="false">
      <c r="A39" s="3"/>
      <c r="B39" s="3"/>
      <c r="C39" s="3"/>
      <c r="D39" s="3"/>
      <c r="E39" s="3"/>
      <c r="F39" s="3"/>
      <c r="G39" s="3"/>
      <c r="H39" s="3"/>
      <c r="I39" s="3"/>
      <c r="J39" s="3"/>
      <c r="K39" s="3"/>
      <c r="L39" s="3"/>
    </row>
    <row r="40" customFormat="false" ht="20" hidden="false" customHeight="true" outlineLevel="0" collapsed="false">
      <c r="A40" s="67" t="s">
        <v>123</v>
      </c>
      <c r="B40" s="67"/>
      <c r="C40" s="67"/>
      <c r="D40" s="67"/>
      <c r="E40" s="67"/>
      <c r="F40" s="67"/>
      <c r="G40" s="67"/>
      <c r="H40" s="67"/>
      <c r="I40" s="67"/>
      <c r="J40" s="67"/>
      <c r="K40" s="67"/>
      <c r="L40" s="67"/>
    </row>
    <row r="41" customFormat="false" ht="14.4" hidden="false" customHeight="false" outlineLevel="0" collapsed="false">
      <c r="A41" s="68" t="s">
        <v>124</v>
      </c>
      <c r="B41" s="68"/>
      <c r="C41" s="68"/>
      <c r="D41" s="68"/>
      <c r="E41" s="68" t="s">
        <v>125</v>
      </c>
      <c r="F41" s="68"/>
      <c r="G41" s="68"/>
      <c r="H41" s="68"/>
      <c r="I41" s="68" t="s">
        <v>126</v>
      </c>
      <c r="J41" s="68"/>
      <c r="K41" s="68"/>
      <c r="L41" s="68"/>
    </row>
    <row r="42" customFormat="false" ht="14.4" hidden="false" customHeight="false" outlineLevel="0" collapsed="false">
      <c r="A42" s="69" t="n">
        <f aca="false">B8</f>
        <v>45867</v>
      </c>
      <c r="B42" s="69"/>
      <c r="C42" s="69"/>
      <c r="D42" s="69"/>
      <c r="E42" s="3" t="s">
        <v>127</v>
      </c>
      <c r="F42" s="3"/>
      <c r="G42" s="3"/>
      <c r="H42" s="3"/>
      <c r="I42" s="69" t="n">
        <f aca="false">B9</f>
        <v>46219</v>
      </c>
      <c r="J42" s="69"/>
      <c r="K42" s="69"/>
      <c r="L42" s="69"/>
    </row>
    <row r="43" customFormat="false" ht="14.4" hidden="false" customHeight="true" outlineLevel="0" collapsed="false">
      <c r="A43" s="70" t="s">
        <v>128</v>
      </c>
      <c r="B43" s="70"/>
      <c r="C43" s="70"/>
      <c r="D43" s="70"/>
      <c r="E43" s="71" t="s">
        <v>129</v>
      </c>
      <c r="F43" s="71"/>
      <c r="G43" s="71"/>
      <c r="H43" s="71"/>
      <c r="I43" s="72" t="s">
        <v>130</v>
      </c>
      <c r="J43" s="72"/>
      <c r="K43" s="72"/>
      <c r="L43" s="72"/>
    </row>
    <row r="44" customFormat="false" ht="14.4" hidden="false" customHeight="false" outlineLevel="0" collapsed="false">
      <c r="A44" s="70"/>
      <c r="B44" s="70"/>
      <c r="C44" s="70"/>
      <c r="D44" s="70"/>
      <c r="E44" s="71"/>
      <c r="F44" s="71"/>
      <c r="G44" s="71"/>
      <c r="H44" s="71"/>
      <c r="I44" s="72"/>
      <c r="J44" s="72"/>
      <c r="K44" s="72"/>
      <c r="L44" s="72"/>
    </row>
    <row r="45" customFormat="false" ht="14.4" hidden="false" customHeight="false" outlineLevel="0" collapsed="false">
      <c r="A45" s="70"/>
      <c r="B45" s="70"/>
      <c r="C45" s="70"/>
      <c r="D45" s="70"/>
      <c r="E45" s="71"/>
      <c r="F45" s="71"/>
      <c r="G45" s="71"/>
      <c r="H45" s="71"/>
      <c r="I45" s="72"/>
      <c r="J45" s="72"/>
      <c r="K45" s="72"/>
      <c r="L45" s="72"/>
    </row>
  </sheetData>
  <mergeCells count="21">
    <mergeCell ref="A1:L1"/>
    <mergeCell ref="A2:L2"/>
    <mergeCell ref="A4:L4"/>
    <mergeCell ref="H5:L5"/>
    <mergeCell ref="I6:L6"/>
    <mergeCell ref="I7:L7"/>
    <mergeCell ref="I8:L8"/>
    <mergeCell ref="I9:L9"/>
    <mergeCell ref="E13:L13"/>
    <mergeCell ref="A29:L29"/>
    <mergeCell ref="A36:L38"/>
    <mergeCell ref="A40:L40"/>
    <mergeCell ref="A41:D41"/>
    <mergeCell ref="E41:H41"/>
    <mergeCell ref="I41:L41"/>
    <mergeCell ref="A42:D42"/>
    <mergeCell ref="E42:H42"/>
    <mergeCell ref="I42:L42"/>
    <mergeCell ref="A43:D45"/>
    <mergeCell ref="E43:H45"/>
    <mergeCell ref="I43:L4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4" customHeight="false" zeroHeight="false" outlineLevelRow="0" outlineLevelCol="0"/>
  <cols>
    <col collapsed="false" customWidth="true" hidden="false" outlineLevel="0" max="1" min="1" style="0" width="30"/>
    <col collapsed="false" customWidth="true" hidden="false" outlineLevel="0" max="5" min="2" style="0" width="14"/>
    <col collapsed="false" customWidth="true" hidden="false" outlineLevel="0" max="6" min="6" style="0" width="52"/>
  </cols>
  <sheetData>
    <row r="1" customFormat="false" ht="25.5" hidden="false" customHeight="true" outlineLevel="0" collapsed="false">
      <c r="A1" s="1" t="s">
        <v>131</v>
      </c>
      <c r="B1" s="1"/>
      <c r="C1" s="1"/>
      <c r="D1" s="1"/>
      <c r="E1" s="1"/>
      <c r="F1" s="1"/>
    </row>
    <row r="2" customFormat="false" ht="18" hidden="false" customHeight="true" outlineLevel="0" collapsed="false">
      <c r="A2" s="2" t="s">
        <v>132</v>
      </c>
      <c r="B2" s="2"/>
      <c r="C2" s="2"/>
      <c r="D2" s="2"/>
      <c r="E2" s="2"/>
      <c r="F2" s="2"/>
    </row>
    <row r="3" customFormat="false" ht="15" hidden="false" customHeight="true" outlineLevel="0" collapsed="false">
      <c r="A3" s="33"/>
      <c r="B3" s="33"/>
      <c r="C3" s="33"/>
      <c r="D3" s="33"/>
      <c r="E3" s="33"/>
      <c r="F3" s="33"/>
    </row>
    <row r="4" customFormat="false" ht="19.5" hidden="false" customHeight="true" outlineLevel="0" collapsed="false">
      <c r="A4" s="44" t="s">
        <v>133</v>
      </c>
      <c r="B4" s="44"/>
      <c r="C4" s="44"/>
      <c r="D4" s="44"/>
      <c r="E4" s="44"/>
      <c r="F4" s="44"/>
    </row>
    <row r="5" customFormat="false" ht="27.75" hidden="false" customHeight="true" outlineLevel="0" collapsed="false">
      <c r="A5" s="45" t="s">
        <v>134</v>
      </c>
      <c r="B5" s="45" t="s">
        <v>135</v>
      </c>
      <c r="C5" s="45" t="s">
        <v>136</v>
      </c>
      <c r="D5" s="45" t="s">
        <v>137</v>
      </c>
      <c r="E5" s="45" t="s">
        <v>138</v>
      </c>
      <c r="F5" s="45" t="s">
        <v>139</v>
      </c>
    </row>
    <row r="6" customFormat="false" ht="15" hidden="false" customHeight="true" outlineLevel="0" collapsed="false">
      <c r="A6" s="48" t="s">
        <v>140</v>
      </c>
      <c r="B6" s="73" t="n">
        <v>1612.4</v>
      </c>
      <c r="C6" s="73" t="n">
        <v>3352.5</v>
      </c>
      <c r="D6" s="74" t="n">
        <v>4160.3</v>
      </c>
      <c r="E6" s="73" t="n">
        <v>4264</v>
      </c>
      <c r="F6" s="48" t="s">
        <v>141</v>
      </c>
    </row>
    <row r="7" customFormat="false" ht="15" hidden="false" customHeight="true" outlineLevel="0" collapsed="false">
      <c r="A7" s="52" t="s">
        <v>142</v>
      </c>
      <c r="B7" s="62" t="n">
        <v>151.5</v>
      </c>
      <c r="C7" s="62" t="n">
        <v>390.7</v>
      </c>
      <c r="D7" s="75" t="n">
        <v>647.5</v>
      </c>
      <c r="E7" s="62" t="n">
        <v>358.4</v>
      </c>
      <c r="F7" s="52" t="s">
        <v>141</v>
      </c>
    </row>
    <row r="8" customFormat="false" ht="15" hidden="false" customHeight="true" outlineLevel="0" collapsed="false">
      <c r="A8" s="52" t="s">
        <v>143</v>
      </c>
      <c r="B8" s="62" t="n">
        <v>81.9</v>
      </c>
      <c r="C8" s="62" t="n">
        <v>231.1</v>
      </c>
      <c r="D8" s="75" t="n">
        <v>269.9</v>
      </c>
      <c r="E8" s="62" t="n">
        <v>281.3</v>
      </c>
      <c r="F8" s="52" t="s">
        <v>141</v>
      </c>
    </row>
    <row r="9" customFormat="false" ht="15" hidden="false" customHeight="true" outlineLevel="0" collapsed="false">
      <c r="A9" s="76" t="s">
        <v>144</v>
      </c>
      <c r="B9" s="77" t="n">
        <f aca="false">B7+B8</f>
        <v>233.4</v>
      </c>
      <c r="C9" s="77" t="n">
        <f aca="false">C7+C8</f>
        <v>621.8</v>
      </c>
      <c r="D9" s="78" t="n">
        <f aca="false">D7+D8</f>
        <v>917.4</v>
      </c>
      <c r="E9" s="77" t="n">
        <f aca="false">E7+E8</f>
        <v>639.7</v>
      </c>
      <c r="F9" s="52" t="s">
        <v>145</v>
      </c>
    </row>
    <row r="10" customFormat="false" ht="15" hidden="false" customHeight="true" outlineLevel="0" collapsed="false">
      <c r="A10" s="52" t="s">
        <v>146</v>
      </c>
      <c r="B10" s="62" t="n">
        <v>249.1</v>
      </c>
      <c r="C10" s="62" t="n">
        <v>680.3</v>
      </c>
      <c r="D10" s="75" t="n">
        <v>914</v>
      </c>
      <c r="E10" s="62" t="n">
        <v>625.7</v>
      </c>
      <c r="F10" s="52" t="s">
        <v>147</v>
      </c>
    </row>
    <row r="11" customFormat="false" ht="23.85" hidden="false" customHeight="false" outlineLevel="0" collapsed="false">
      <c r="A11" s="52" t="s">
        <v>148</v>
      </c>
      <c r="B11" s="62" t="n">
        <v>296.3</v>
      </c>
      <c r="C11" s="62" t="n">
        <v>774.8</v>
      </c>
      <c r="D11" s="75" t="n">
        <v>1013.8</v>
      </c>
      <c r="E11" s="62" t="n">
        <v>1014.3</v>
      </c>
      <c r="F11" s="52" t="s">
        <v>149</v>
      </c>
    </row>
    <row r="12" customFormat="false" ht="15" hidden="false" customHeight="true" outlineLevel="0" collapsed="false">
      <c r="A12" s="52" t="s">
        <v>150</v>
      </c>
      <c r="B12" s="62" t="n">
        <v>25</v>
      </c>
      <c r="C12" s="62" t="n">
        <v>56.9</v>
      </c>
      <c r="D12" s="75" t="n">
        <v>232.8</v>
      </c>
      <c r="E12" s="62" t="n">
        <v>37.2</v>
      </c>
      <c r="F12" s="52" t="s">
        <v>151</v>
      </c>
    </row>
    <row r="13" customFormat="false" ht="15" hidden="false" customHeight="true" outlineLevel="0" collapsed="false">
      <c r="A13" s="52" t="s">
        <v>152</v>
      </c>
      <c r="B13" s="62" t="n">
        <v>663.6</v>
      </c>
      <c r="C13" s="62" t="n">
        <v>188.3</v>
      </c>
      <c r="D13" s="75" t="n">
        <v>308.6</v>
      </c>
      <c r="E13" s="62" t="n">
        <v>366</v>
      </c>
      <c r="F13" s="52" t="s">
        <v>153</v>
      </c>
    </row>
    <row r="14" customFormat="false" ht="15" hidden="false" customHeight="true" outlineLevel="0" collapsed="false">
      <c r="A14" s="52" t="s">
        <v>154</v>
      </c>
      <c r="B14" s="62" t="n">
        <v>2318</v>
      </c>
      <c r="C14" s="62" t="n">
        <v>3834.9</v>
      </c>
      <c r="D14" s="75" t="n">
        <v>3641.6</v>
      </c>
      <c r="E14" s="62" t="n">
        <v>3565</v>
      </c>
      <c r="F14" s="52" t="s">
        <v>153</v>
      </c>
    </row>
    <row r="15" customFormat="false" ht="15" hidden="false" customHeight="true" outlineLevel="0" collapsed="false">
      <c r="A15" s="76" t="s">
        <v>155</v>
      </c>
      <c r="B15" s="77" t="n">
        <f aca="false">B14-B13</f>
        <v>1654.4</v>
      </c>
      <c r="C15" s="77" t="n">
        <f aca="false">C14-C13</f>
        <v>3646.6</v>
      </c>
      <c r="D15" s="78" t="n">
        <f aca="false">D14-D13</f>
        <v>3333</v>
      </c>
      <c r="E15" s="77" t="n">
        <f aca="false">E14-E13</f>
        <v>3199</v>
      </c>
      <c r="F15" s="52" t="s">
        <v>156</v>
      </c>
    </row>
    <row r="16" customFormat="false" ht="23.85" hidden="false" customHeight="false" outlineLevel="0" collapsed="false">
      <c r="A16" s="52" t="s">
        <v>157</v>
      </c>
      <c r="B16" s="62" t="n">
        <v>41.802</v>
      </c>
      <c r="C16" s="62" t="n">
        <v>41.993</v>
      </c>
      <c r="D16" s="75" t="n">
        <v>44.896</v>
      </c>
      <c r="E16" s="62" t="n">
        <v>47.797</v>
      </c>
      <c r="F16" s="52" t="s">
        <v>158</v>
      </c>
    </row>
    <row r="17" customFormat="false" ht="15" hidden="false" customHeight="true" outlineLevel="0" collapsed="false">
      <c r="A17" s="52" t="s">
        <v>159</v>
      </c>
      <c r="B17" s="62" t="n">
        <v>36.5</v>
      </c>
      <c r="C17" s="62" t="n">
        <v>46.82</v>
      </c>
      <c r="D17" s="75" t="n">
        <v>46.67</v>
      </c>
      <c r="E17" s="62" t="n">
        <v>45.37</v>
      </c>
      <c r="F17" s="52" t="s">
        <v>160</v>
      </c>
    </row>
    <row r="18" customFormat="false" ht="15" hidden="false" customHeight="true" outlineLevel="0" collapsed="false">
      <c r="A18" s="52" t="s">
        <v>161</v>
      </c>
      <c r="B18" s="62" t="n">
        <v>74.2</v>
      </c>
      <c r="C18" s="62" t="n">
        <v>135.6</v>
      </c>
      <c r="D18" s="75" t="n">
        <v>120.8</v>
      </c>
      <c r="E18" s="62" t="n">
        <v>89.9</v>
      </c>
      <c r="F18" s="52" t="s">
        <v>162</v>
      </c>
    </row>
    <row r="19" customFormat="false" ht="15" hidden="false" customHeight="true" outlineLevel="0" collapsed="false">
      <c r="A19" s="52" t="s">
        <v>163</v>
      </c>
      <c r="B19" s="62" t="n">
        <v>80.8</v>
      </c>
      <c r="C19" s="62" t="n">
        <v>234.8</v>
      </c>
      <c r="D19" s="75" t="n">
        <v>508.7</v>
      </c>
      <c r="E19" s="62" t="n">
        <v>292.7</v>
      </c>
      <c r="F19" s="52" t="s">
        <v>164</v>
      </c>
    </row>
    <row r="20" customFormat="false" ht="15" hidden="false" customHeight="true" outlineLevel="0" collapsed="false">
      <c r="A20" s="33"/>
      <c r="B20" s="33"/>
      <c r="C20" s="33"/>
      <c r="D20" s="33"/>
      <c r="E20" s="33"/>
      <c r="F20" s="33"/>
    </row>
    <row r="21" customFormat="false" ht="15" hidden="false" customHeight="true" outlineLevel="0" collapsed="false">
      <c r="A21" s="33"/>
      <c r="B21" s="33"/>
      <c r="C21" s="33"/>
      <c r="D21" s="33"/>
      <c r="E21" s="33"/>
      <c r="F21" s="33"/>
    </row>
    <row r="22" customFormat="false" ht="19.5" hidden="false" customHeight="true" outlineLevel="0" collapsed="false">
      <c r="A22" s="44" t="s">
        <v>165</v>
      </c>
      <c r="B22" s="44"/>
      <c r="C22" s="44"/>
      <c r="D22" s="44"/>
      <c r="E22" s="44"/>
      <c r="F22" s="44"/>
    </row>
    <row r="23" customFormat="false" ht="25.5" hidden="false" customHeight="true" outlineLevel="0" collapsed="false">
      <c r="A23" s="45" t="s">
        <v>166</v>
      </c>
      <c r="B23" s="45" t="s">
        <v>4</v>
      </c>
      <c r="C23" s="45" t="s">
        <v>167</v>
      </c>
      <c r="D23" s="45" t="s">
        <v>168</v>
      </c>
      <c r="E23" s="45"/>
      <c r="F23" s="45"/>
    </row>
    <row r="24" customFormat="false" ht="23.85" hidden="false" customHeight="true" outlineLevel="0" collapsed="false">
      <c r="A24" s="48" t="s">
        <v>140</v>
      </c>
      <c r="B24" s="79" t="n">
        <f aca="false">D6</f>
        <v>4160.3</v>
      </c>
      <c r="C24" s="48" t="s">
        <v>169</v>
      </c>
      <c r="D24" s="48" t="s">
        <v>170</v>
      </c>
      <c r="E24" s="48"/>
      <c r="F24" s="48"/>
    </row>
    <row r="25" customFormat="false" ht="45.75" hidden="false" customHeight="true" outlineLevel="0" collapsed="false">
      <c r="A25" s="52" t="s">
        <v>148</v>
      </c>
      <c r="B25" s="80" t="n">
        <f aca="false">D11</f>
        <v>1013.8</v>
      </c>
      <c r="C25" s="52" t="s">
        <v>171</v>
      </c>
      <c r="D25" s="52" t="s">
        <v>172</v>
      </c>
      <c r="E25" s="52"/>
      <c r="F25" s="52"/>
    </row>
    <row r="26" customFormat="false" ht="23.85" hidden="false" customHeight="true" outlineLevel="0" collapsed="false">
      <c r="A26" s="52" t="s">
        <v>155</v>
      </c>
      <c r="B26" s="80" t="n">
        <f aca="false">D15</f>
        <v>3333</v>
      </c>
      <c r="C26" s="52" t="s">
        <v>173</v>
      </c>
      <c r="D26" s="52" t="s">
        <v>174</v>
      </c>
      <c r="E26" s="52"/>
      <c r="F26" s="52"/>
    </row>
    <row r="27" customFormat="false" ht="23.85" hidden="false" customHeight="true" outlineLevel="0" collapsed="false">
      <c r="A27" s="52" t="s">
        <v>175</v>
      </c>
      <c r="B27" s="81" t="n">
        <f aca="false">'Target Capitalization'!B9</f>
        <v>49.0259628714286</v>
      </c>
      <c r="C27" s="52" t="s">
        <v>176</v>
      </c>
      <c r="D27" s="52" t="s">
        <v>177</v>
      </c>
      <c r="E27" s="52"/>
      <c r="F27" s="52"/>
    </row>
    <row r="28" customFormat="false" ht="23.85" hidden="false" customHeight="true" outlineLevel="0" collapsed="false">
      <c r="A28" s="52" t="s">
        <v>19</v>
      </c>
      <c r="B28" s="82" t="n">
        <f aca="false">'Transaction Overview'!B11</f>
        <v>171.65</v>
      </c>
      <c r="C28" s="52" t="s">
        <v>178</v>
      </c>
      <c r="D28" s="52" t="s">
        <v>179</v>
      </c>
      <c r="E28" s="52"/>
      <c r="F28" s="52"/>
    </row>
    <row r="29" customFormat="false" ht="15" hidden="false" customHeight="true" outlineLevel="0" collapsed="false">
      <c r="A29" s="52" t="s">
        <v>27</v>
      </c>
      <c r="B29" s="82" t="n">
        <f aca="false">'Transaction Overview'!B10</f>
        <v>210</v>
      </c>
      <c r="C29" s="52" t="s">
        <v>60</v>
      </c>
      <c r="D29" s="52" t="s">
        <v>180</v>
      </c>
      <c r="E29" s="52"/>
      <c r="F29" s="52"/>
    </row>
    <row r="30" customFormat="false" ht="15" hidden="false" customHeight="true" outlineLevel="0" collapsed="false">
      <c r="A30" s="33"/>
      <c r="B30" s="33"/>
      <c r="C30" s="33"/>
      <c r="D30" s="33"/>
      <c r="E30" s="33"/>
      <c r="F30" s="33"/>
    </row>
    <row r="31" customFormat="false" ht="15" hidden="false" customHeight="true" outlineLevel="0" collapsed="false">
      <c r="A31" s="33"/>
      <c r="B31" s="33"/>
      <c r="C31" s="33"/>
      <c r="D31" s="33"/>
      <c r="E31" s="33"/>
      <c r="F31" s="33"/>
    </row>
    <row r="32" customFormat="false" ht="15" hidden="false" customHeight="true" outlineLevel="0" collapsed="false">
      <c r="A32" s="63" t="s">
        <v>181</v>
      </c>
      <c r="B32" s="63"/>
      <c r="C32" s="63"/>
      <c r="D32" s="63"/>
      <c r="E32" s="63"/>
      <c r="F32" s="63"/>
    </row>
    <row r="33" customFormat="false" ht="15" hidden="false" customHeight="true" outlineLevel="0" collapsed="false">
      <c r="A33" s="63"/>
      <c r="B33" s="63"/>
      <c r="C33" s="63"/>
      <c r="D33" s="63"/>
      <c r="E33" s="63"/>
      <c r="F33" s="63"/>
    </row>
    <row r="34" customFormat="false" ht="15" hidden="false" customHeight="true" outlineLevel="0" collapsed="false">
      <c r="A34" s="63"/>
      <c r="B34" s="63"/>
      <c r="C34" s="63"/>
      <c r="D34" s="63"/>
      <c r="E34" s="63"/>
      <c r="F34" s="63"/>
    </row>
    <row r="35" customFormat="false" ht="14.4" hidden="false" customHeight="false" outlineLevel="0" collapsed="false">
      <c r="A35" s="3"/>
      <c r="B35" s="3"/>
      <c r="C35" s="3"/>
      <c r="D35" s="3"/>
      <c r="E35" s="3"/>
      <c r="F35" s="3"/>
    </row>
    <row r="36" customFormat="false" ht="20" hidden="false" customHeight="true" outlineLevel="0" collapsed="false">
      <c r="A36" s="67" t="s">
        <v>182</v>
      </c>
      <c r="B36" s="67"/>
      <c r="C36" s="67"/>
      <c r="D36" s="67"/>
      <c r="E36" s="67"/>
      <c r="F36" s="67"/>
    </row>
    <row r="37" customFormat="false" ht="14.4" hidden="false" customHeight="false" outlineLevel="0" collapsed="false">
      <c r="A37" s="20" t="s">
        <v>183</v>
      </c>
      <c r="B37" s="20" t="s">
        <v>135</v>
      </c>
      <c r="C37" s="20" t="s">
        <v>136</v>
      </c>
      <c r="D37" s="20" t="s">
        <v>137</v>
      </c>
      <c r="E37" s="20" t="s">
        <v>138</v>
      </c>
      <c r="F37" s="20" t="s">
        <v>184</v>
      </c>
    </row>
    <row r="38" customFormat="false" ht="14.4" hidden="false" customHeight="false" outlineLevel="0" collapsed="false">
      <c r="A38" s="11" t="s">
        <v>185</v>
      </c>
      <c r="B38" s="83" t="s">
        <v>186</v>
      </c>
      <c r="C38" s="84" t="n">
        <f aca="false">C6/B6-1</f>
        <v>1.07919870999752</v>
      </c>
      <c r="D38" s="85" t="n">
        <f aca="false">D6/C6-1</f>
        <v>0.240954511558539</v>
      </c>
      <c r="E38" s="84" t="n">
        <f aca="false">E6/D6-1</f>
        <v>0.0249260870610293</v>
      </c>
      <c r="F38" s="11" t="s">
        <v>187</v>
      </c>
    </row>
    <row r="39" customFormat="false" ht="14.4" hidden="false" customHeight="false" outlineLevel="0" collapsed="false">
      <c r="A39" s="14" t="s">
        <v>188</v>
      </c>
      <c r="B39" s="86" t="n">
        <f aca="false">B7/B$6</f>
        <v>0.0939593153063756</v>
      </c>
      <c r="C39" s="86" t="n">
        <f aca="false">C7/C$6</f>
        <v>0.116539895600298</v>
      </c>
      <c r="D39" s="87" t="n">
        <f aca="false">D7/D$6</f>
        <v>0.155637814580679</v>
      </c>
      <c r="E39" s="86" t="n">
        <f aca="false">E7/E$6</f>
        <v>0.0840525328330206</v>
      </c>
      <c r="F39" s="14" t="s">
        <v>189</v>
      </c>
    </row>
    <row r="40" customFormat="false" ht="14.4" hidden="false" customHeight="false" outlineLevel="0" collapsed="false">
      <c r="A40" s="14" t="s">
        <v>190</v>
      </c>
      <c r="B40" s="86" t="n">
        <f aca="false">B9/B$6</f>
        <v>0.144753162986852</v>
      </c>
      <c r="C40" s="86" t="n">
        <f aca="false">C9/C$6</f>
        <v>0.185473527218494</v>
      </c>
      <c r="D40" s="87" t="n">
        <f aca="false">D9/D$6</f>
        <v>0.220512943778093</v>
      </c>
      <c r="E40" s="86" t="n">
        <f aca="false">E9/E$6</f>
        <v>0.150023452157599</v>
      </c>
      <c r="F40" s="14" t="s">
        <v>191</v>
      </c>
    </row>
    <row r="41" customFormat="false" ht="14.4" hidden="false" customHeight="false" outlineLevel="0" collapsed="false">
      <c r="A41" s="14" t="s">
        <v>192</v>
      </c>
      <c r="B41" s="86" t="n">
        <f aca="false">B11/B$6</f>
        <v>0.183763334160258</v>
      </c>
      <c r="C41" s="86" t="n">
        <f aca="false">C11/C$6</f>
        <v>0.231111111111111</v>
      </c>
      <c r="D41" s="87" t="n">
        <f aca="false">D11/D$6</f>
        <v>0.243684349686321</v>
      </c>
      <c r="E41" s="86" t="n">
        <f aca="false">E11/E$6</f>
        <v>0.237875234521576</v>
      </c>
      <c r="F41" s="14" t="s">
        <v>193</v>
      </c>
    </row>
    <row r="42" customFormat="false" ht="14.4" hidden="false" customHeight="false" outlineLevel="0" collapsed="false">
      <c r="A42" s="14" t="s">
        <v>194</v>
      </c>
      <c r="B42" s="86" t="n">
        <f aca="false">B12/B$6</f>
        <v>0.0155048375093029</v>
      </c>
      <c r="C42" s="86" t="n">
        <f aca="false">C12/C$6</f>
        <v>0.016972408650261</v>
      </c>
      <c r="D42" s="87" t="n">
        <f aca="false">D12/D$6</f>
        <v>0.0559575030646828</v>
      </c>
      <c r="E42" s="86" t="n">
        <f aca="false">E12/E$6</f>
        <v>0.00872420262664165</v>
      </c>
      <c r="F42" s="14" t="s">
        <v>195</v>
      </c>
    </row>
    <row r="43" customFormat="false" ht="14.4" hidden="false" customHeight="false" outlineLevel="0" collapsed="false">
      <c r="A43" s="14" t="s">
        <v>196</v>
      </c>
      <c r="B43" s="88" t="n">
        <f aca="false">B15/B11</f>
        <v>5.58353020587243</v>
      </c>
      <c r="C43" s="88" t="n">
        <f aca="false">C15/C11</f>
        <v>4.70650490449148</v>
      </c>
      <c r="D43" s="89" t="n">
        <f aca="false">D15/D11</f>
        <v>3.28763069638982</v>
      </c>
      <c r="E43" s="88" t="n">
        <f aca="false">E15/E11</f>
        <v>3.15389924085576</v>
      </c>
      <c r="F43" s="14" t="s">
        <v>196</v>
      </c>
    </row>
    <row r="44" customFormat="false" ht="14.4" hidden="false" customHeight="false" outlineLevel="0" collapsed="false">
      <c r="A44" s="14" t="s">
        <v>197</v>
      </c>
      <c r="B44" s="90" t="n">
        <f aca="false">B19-B18</f>
        <v>6.59999999999999</v>
      </c>
      <c r="C44" s="90" t="n">
        <f aca="false">C19-C18</f>
        <v>99.2</v>
      </c>
      <c r="D44" s="91" t="n">
        <f aca="false">D19-D18</f>
        <v>387.9</v>
      </c>
      <c r="E44" s="90" t="n">
        <f aca="false">E19-E18</f>
        <v>202.8</v>
      </c>
      <c r="F44" s="14" t="s">
        <v>198</v>
      </c>
    </row>
    <row r="45" customFormat="false" ht="14.4" hidden="false" customHeight="false" outlineLevel="0" collapsed="false">
      <c r="A45" s="14" t="s">
        <v>199</v>
      </c>
      <c r="B45" s="86" t="n">
        <f aca="false">B44/B11</f>
        <v>0.0222747215659804</v>
      </c>
      <c r="C45" s="86" t="n">
        <f aca="false">C44/C11</f>
        <v>0.128033040784719</v>
      </c>
      <c r="D45" s="87" t="n">
        <f aca="false">D44/D11</f>
        <v>0.382619846123496</v>
      </c>
      <c r="E45" s="86" t="n">
        <f aca="false">E44/E11</f>
        <v>0.199940845903579</v>
      </c>
      <c r="F45" s="14" t="s">
        <v>200</v>
      </c>
    </row>
    <row r="46" customFormat="false" ht="14.4" hidden="false" customHeight="false" outlineLevel="0" collapsed="false">
      <c r="A46" s="3"/>
      <c r="B46" s="3"/>
      <c r="C46" s="3"/>
      <c r="D46" s="3"/>
      <c r="E46" s="3"/>
      <c r="F46" s="3"/>
    </row>
    <row r="47" customFormat="false" ht="14.4" hidden="false" customHeight="true" outlineLevel="0" collapsed="false">
      <c r="A47" s="63" t="s">
        <v>201</v>
      </c>
      <c r="B47" s="63"/>
      <c r="C47" s="63"/>
      <c r="D47" s="63"/>
      <c r="E47" s="63"/>
      <c r="F47" s="63"/>
    </row>
    <row r="48" customFormat="false" ht="14.4" hidden="false" customHeight="false" outlineLevel="0" collapsed="false">
      <c r="A48" s="63"/>
      <c r="B48" s="63"/>
      <c r="C48" s="63"/>
      <c r="D48" s="63"/>
      <c r="E48" s="63"/>
      <c r="F48" s="63"/>
    </row>
  </sheetData>
  <mergeCells count="14">
    <mergeCell ref="A1:F1"/>
    <mergeCell ref="A2:F2"/>
    <mergeCell ref="A4:F4"/>
    <mergeCell ref="A22:F22"/>
    <mergeCell ref="D23:F23"/>
    <mergeCell ref="D24:F24"/>
    <mergeCell ref="D25:F25"/>
    <mergeCell ref="D26:F26"/>
    <mergeCell ref="D27:F27"/>
    <mergeCell ref="D28:F28"/>
    <mergeCell ref="D29:F29"/>
    <mergeCell ref="A32:F34"/>
    <mergeCell ref="A36:F36"/>
    <mergeCell ref="A47:F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0390625" defaultRowHeight="14.4" customHeight="false" zeroHeight="false" outlineLevelRow="0" outlineLevelCol="0"/>
  <cols>
    <col collapsed="false" customWidth="true" hidden="false" outlineLevel="0" max="1" min="1" style="0" width="46"/>
    <col collapsed="false" customWidth="true" hidden="false" outlineLevel="0" max="2" min="2" style="0" width="19"/>
    <col collapsed="false" customWidth="true" hidden="false" outlineLevel="0" max="3" min="3" style="0" width="52"/>
    <col collapsed="false" customWidth="true" hidden="false" outlineLevel="0" max="5" min="4" style="0" width="18"/>
    <col collapsed="false" customWidth="true" hidden="false" outlineLevel="0" max="6" min="6" style="0" width="28"/>
  </cols>
  <sheetData>
    <row r="1" customFormat="false" ht="25.5" hidden="false" customHeight="true" outlineLevel="0" collapsed="false">
      <c r="A1" s="1" t="s">
        <v>202</v>
      </c>
      <c r="B1" s="1"/>
      <c r="C1" s="1"/>
      <c r="D1" s="1"/>
      <c r="E1" s="1"/>
      <c r="F1" s="1"/>
    </row>
    <row r="2" customFormat="false" ht="18" hidden="false" customHeight="true" outlineLevel="0" collapsed="false">
      <c r="A2" s="2" t="s">
        <v>203</v>
      </c>
      <c r="B2" s="2"/>
      <c r="C2" s="2"/>
      <c r="D2" s="2"/>
      <c r="E2" s="2"/>
      <c r="F2" s="2"/>
    </row>
    <row r="3" customFormat="false" ht="14.4" hidden="false" customHeight="false" outlineLevel="0" collapsed="false">
      <c r="A3" s="3"/>
      <c r="B3" s="3"/>
      <c r="C3" s="3"/>
      <c r="D3" s="3"/>
      <c r="E3" s="3"/>
      <c r="F3" s="3"/>
    </row>
    <row r="4" customFormat="false" ht="19.5" hidden="false" customHeight="true" outlineLevel="0" collapsed="false">
      <c r="A4" s="4" t="s">
        <v>204</v>
      </c>
      <c r="B4" s="4"/>
      <c r="C4" s="4"/>
      <c r="D4" s="4"/>
      <c r="E4" s="4"/>
      <c r="F4" s="4"/>
    </row>
    <row r="5" customFormat="false" ht="24" hidden="false" customHeight="true" outlineLevel="0" collapsed="false">
      <c r="A5" s="32" t="s">
        <v>205</v>
      </c>
      <c r="B5" s="32" t="s">
        <v>206</v>
      </c>
      <c r="C5" s="32" t="s">
        <v>167</v>
      </c>
      <c r="D5" s="3"/>
      <c r="E5" s="3"/>
      <c r="F5" s="3"/>
    </row>
    <row r="6" customFormat="false" ht="14.4" hidden="false" customHeight="false" outlineLevel="0" collapsed="false">
      <c r="A6" s="33" t="s">
        <v>207</v>
      </c>
      <c r="B6" s="92" t="n">
        <v>44.896</v>
      </c>
      <c r="C6" s="33" t="s">
        <v>208</v>
      </c>
      <c r="D6" s="3"/>
      <c r="E6" s="3"/>
      <c r="F6" s="3"/>
    </row>
    <row r="7" customFormat="false" ht="14.4" hidden="false" customHeight="false" outlineLevel="0" collapsed="false">
      <c r="A7" s="33" t="s">
        <v>209</v>
      </c>
      <c r="B7" s="92" t="n">
        <v>46.67</v>
      </c>
      <c r="C7" s="33" t="s">
        <v>210</v>
      </c>
      <c r="D7" s="3"/>
      <c r="E7" s="3"/>
      <c r="F7" s="3"/>
    </row>
    <row r="8" customFormat="false" ht="14.4" hidden="false" customHeight="false" outlineLevel="0" collapsed="false">
      <c r="A8" s="33" t="s">
        <v>211</v>
      </c>
      <c r="B8" s="93" t="n">
        <f aca="false">B30</f>
        <v>44.951215</v>
      </c>
      <c r="C8" s="33" t="s">
        <v>212</v>
      </c>
      <c r="D8" s="3"/>
      <c r="E8" s="3"/>
      <c r="F8" s="3"/>
    </row>
    <row r="9" customFormat="false" ht="14.4" hidden="false" customHeight="false" outlineLevel="0" collapsed="false">
      <c r="A9" s="35" t="s">
        <v>213</v>
      </c>
      <c r="B9" s="94" t="n">
        <f aca="false">B34</f>
        <v>49.0259628714286</v>
      </c>
      <c r="C9" s="33" t="s">
        <v>214</v>
      </c>
      <c r="D9" s="3"/>
      <c r="E9" s="3"/>
      <c r="F9" s="3"/>
    </row>
    <row r="10" customFormat="false" ht="14.4" hidden="false" customHeight="false" outlineLevel="0" collapsed="false">
      <c r="A10" s="3"/>
      <c r="B10" s="3"/>
      <c r="C10" s="3"/>
      <c r="D10" s="3"/>
      <c r="E10" s="3"/>
      <c r="F10" s="3"/>
    </row>
    <row r="11" customFormat="false" ht="19.5" hidden="false" customHeight="true" outlineLevel="0" collapsed="false">
      <c r="A11" s="4" t="s">
        <v>215</v>
      </c>
      <c r="B11" s="4"/>
      <c r="C11" s="4"/>
      <c r="D11" s="4"/>
      <c r="E11" s="4"/>
      <c r="F11" s="4"/>
    </row>
    <row r="12" customFormat="false" ht="24" hidden="false" customHeight="true" outlineLevel="0" collapsed="false">
      <c r="A12" s="32" t="s">
        <v>205</v>
      </c>
      <c r="B12" s="32" t="s">
        <v>4</v>
      </c>
      <c r="C12" s="32" t="s">
        <v>167</v>
      </c>
      <c r="D12" s="3"/>
      <c r="E12" s="3"/>
      <c r="F12" s="3"/>
    </row>
    <row r="13" customFormat="false" ht="14.4" hidden="false" customHeight="false" outlineLevel="0" collapsed="false">
      <c r="A13" s="33" t="s">
        <v>216</v>
      </c>
      <c r="B13" s="95" t="n">
        <f aca="false">'Transaction Overview'!B14</f>
        <v>13600</v>
      </c>
      <c r="C13" s="33" t="s">
        <v>217</v>
      </c>
      <c r="D13" s="3"/>
      <c r="E13" s="3"/>
      <c r="F13" s="3"/>
    </row>
    <row r="14" customFormat="false" ht="14.4" hidden="false" customHeight="false" outlineLevel="0" collapsed="false">
      <c r="A14" s="33" t="s">
        <v>218</v>
      </c>
      <c r="B14" s="95" t="n">
        <f aca="false">-'Target Financials'!D14</f>
        <v>-3641.6</v>
      </c>
      <c r="C14" s="33" t="s">
        <v>153</v>
      </c>
      <c r="D14" s="3"/>
      <c r="E14" s="3"/>
      <c r="F14" s="3"/>
    </row>
    <row r="15" customFormat="false" ht="14.4" hidden="false" customHeight="false" outlineLevel="0" collapsed="false">
      <c r="A15" s="33" t="s">
        <v>219</v>
      </c>
      <c r="B15" s="95" t="n">
        <f aca="false">'Target Financials'!D13</f>
        <v>308.6</v>
      </c>
      <c r="C15" s="33" t="s">
        <v>153</v>
      </c>
      <c r="D15" s="3"/>
      <c r="E15" s="3"/>
      <c r="F15" s="3"/>
    </row>
    <row r="16" customFormat="false" ht="14.4" hidden="false" customHeight="false" outlineLevel="0" collapsed="false">
      <c r="A16" s="35" t="s">
        <v>28</v>
      </c>
      <c r="B16" s="96" t="n">
        <f aca="false">B13+B14+B15</f>
        <v>10267</v>
      </c>
      <c r="C16" s="33" t="s">
        <v>220</v>
      </c>
      <c r="D16" s="3"/>
      <c r="E16" s="3"/>
      <c r="F16" s="3"/>
    </row>
    <row r="17" customFormat="false" ht="14.4" hidden="false" customHeight="false" outlineLevel="0" collapsed="false">
      <c r="A17" s="33" t="s">
        <v>221</v>
      </c>
      <c r="B17" s="97" t="n">
        <f aca="false">B16/B9</f>
        <v>209.419650296831</v>
      </c>
      <c r="C17" s="33" t="s">
        <v>222</v>
      </c>
      <c r="D17" s="3"/>
      <c r="E17" s="3"/>
      <c r="F17" s="3"/>
    </row>
    <row r="18" customFormat="false" ht="28" hidden="false" customHeight="true" outlineLevel="0" collapsed="false">
      <c r="A18" s="33" t="s">
        <v>223</v>
      </c>
      <c r="B18" s="98" t="n">
        <f aca="false">B17-'Transaction Overview'!B10</f>
        <v>-0.580349703168821</v>
      </c>
      <c r="C18" s="99" t="s">
        <v>224</v>
      </c>
      <c r="D18" s="3"/>
      <c r="E18" s="3"/>
      <c r="F18" s="3"/>
    </row>
    <row r="19" customFormat="false" ht="14.4" hidden="false" customHeight="false" outlineLevel="0" collapsed="false">
      <c r="A19" s="3"/>
      <c r="B19" s="3"/>
      <c r="C19" s="3"/>
      <c r="D19" s="3"/>
      <c r="E19" s="3"/>
      <c r="F19" s="3"/>
    </row>
    <row r="20" customFormat="false" ht="19.5" hidden="false" customHeight="true" outlineLevel="0" collapsed="false">
      <c r="A20" s="4" t="s">
        <v>225</v>
      </c>
      <c r="B20" s="4"/>
      <c r="C20" s="4"/>
      <c r="D20" s="4"/>
      <c r="E20" s="4"/>
      <c r="F20" s="4"/>
    </row>
    <row r="21" customFormat="false" ht="24" hidden="false" customHeight="true" outlineLevel="0" collapsed="false">
      <c r="A21" s="32" t="s">
        <v>17</v>
      </c>
      <c r="B21" s="32" t="s">
        <v>226</v>
      </c>
      <c r="C21" s="32" t="s">
        <v>175</v>
      </c>
      <c r="D21" s="32" t="s">
        <v>227</v>
      </c>
      <c r="E21" s="32" t="s">
        <v>228</v>
      </c>
      <c r="F21" s="32" t="s">
        <v>229</v>
      </c>
    </row>
    <row r="22" customFormat="false" ht="14.4" hidden="false" customHeight="false" outlineLevel="0" collapsed="false">
      <c r="A22" s="33" t="s">
        <v>230</v>
      </c>
      <c r="B22" s="37" t="n">
        <f aca="false">'Target Financials'!B28</f>
        <v>171.65</v>
      </c>
      <c r="C22" s="93" t="n">
        <f aca="false">$B$9</f>
        <v>49.0259628714286</v>
      </c>
      <c r="D22" s="95" t="n">
        <f aca="false">B22*C22</f>
        <v>8415.30652688071</v>
      </c>
      <c r="E22" s="95" t="n">
        <f aca="false">'Target Financials'!B26</f>
        <v>3333</v>
      </c>
      <c r="F22" s="95" t="n">
        <f aca="false">D22+E22</f>
        <v>11748.3065268807</v>
      </c>
    </row>
    <row r="23" customFormat="false" ht="14.4" hidden="false" customHeight="false" outlineLevel="0" collapsed="false">
      <c r="A23" s="33" t="s">
        <v>27</v>
      </c>
      <c r="B23" s="37" t="n">
        <f aca="false">'Target Financials'!B29</f>
        <v>210</v>
      </c>
      <c r="C23" s="93" t="n">
        <f aca="false">$B$9</f>
        <v>49.0259628714286</v>
      </c>
      <c r="D23" s="95" t="n">
        <f aca="false">B23*C23</f>
        <v>10295.452203</v>
      </c>
      <c r="E23" s="95" t="n">
        <f aca="false">'Target Financials'!B26</f>
        <v>3333</v>
      </c>
      <c r="F23" s="95" t="n">
        <f aca="false">D23+E23</f>
        <v>13628.452203</v>
      </c>
    </row>
    <row r="24" customFormat="false" ht="14.4" hidden="false" customHeight="false" outlineLevel="0" collapsed="false">
      <c r="A24" s="33" t="s">
        <v>231</v>
      </c>
      <c r="B24" s="37" t="n">
        <f aca="false">'PTA Valuation'!B40</f>
        <v>156.033533698912</v>
      </c>
      <c r="C24" s="93" t="n">
        <f aca="false">$B$9</f>
        <v>49.0259628714286</v>
      </c>
      <c r="D24" s="95" t="n">
        <f aca="false">B24*C24</f>
        <v>7649.69422982064</v>
      </c>
      <c r="E24" s="95" t="n">
        <f aca="false">'Target Financials'!B26</f>
        <v>3333</v>
      </c>
      <c r="F24" s="95" t="n">
        <f aca="false">D24+E24</f>
        <v>10982.6942298206</v>
      </c>
    </row>
    <row r="25" customFormat="false" ht="14.4" hidden="false" customHeight="false" outlineLevel="0" collapsed="false">
      <c r="A25" s="3"/>
      <c r="B25" s="3"/>
      <c r="C25" s="3"/>
      <c r="D25" s="3"/>
      <c r="E25" s="3"/>
      <c r="F25" s="3"/>
    </row>
    <row r="26" customFormat="false" ht="14.4" hidden="false" customHeight="true" outlineLevel="0" collapsed="false">
      <c r="A26" s="100" t="s">
        <v>232</v>
      </c>
      <c r="B26" s="100"/>
      <c r="C26" s="100"/>
      <c r="D26" s="100"/>
      <c r="E26" s="100"/>
      <c r="F26" s="100"/>
    </row>
    <row r="27" customFormat="false" ht="14.4" hidden="false" customHeight="false" outlineLevel="0" collapsed="false">
      <c r="A27" s="100"/>
      <c r="B27" s="100"/>
      <c r="C27" s="100"/>
      <c r="D27" s="100"/>
      <c r="E27" s="100"/>
      <c r="F27" s="100"/>
    </row>
    <row r="28" customFormat="false" ht="20" hidden="false" customHeight="true" outlineLevel="0" collapsed="false">
      <c r="A28" s="67" t="s">
        <v>233</v>
      </c>
      <c r="B28" s="67"/>
      <c r="C28" s="67"/>
      <c r="D28" s="67"/>
      <c r="E28" s="67"/>
      <c r="F28" s="67"/>
    </row>
    <row r="29" customFormat="false" ht="14.4" hidden="false" customHeight="false" outlineLevel="0" collapsed="false">
      <c r="A29" s="20" t="s">
        <v>205</v>
      </c>
      <c r="B29" s="20" t="s">
        <v>4</v>
      </c>
      <c r="C29" s="20" t="s">
        <v>234</v>
      </c>
      <c r="D29" s="3"/>
      <c r="E29" s="3"/>
      <c r="F29" s="3"/>
    </row>
    <row r="30" customFormat="false" ht="14.4" hidden="false" customHeight="false" outlineLevel="0" collapsed="false">
      <c r="A30" s="11" t="s">
        <v>235</v>
      </c>
      <c r="B30" s="101" t="n">
        <v>44.951215</v>
      </c>
      <c r="C30" s="11" t="s">
        <v>236</v>
      </c>
      <c r="D30" s="3"/>
      <c r="E30" s="3"/>
      <c r="F30" s="3"/>
    </row>
    <row r="31" customFormat="false" ht="14.4" hidden="false" customHeight="false" outlineLevel="0" collapsed="false">
      <c r="A31" s="14" t="s">
        <v>237</v>
      </c>
      <c r="B31" s="102" t="n">
        <v>3.405955</v>
      </c>
      <c r="C31" s="14" t="s">
        <v>238</v>
      </c>
      <c r="D31" s="3"/>
      <c r="E31" s="3"/>
      <c r="F31" s="3"/>
    </row>
    <row r="32" customFormat="false" ht="14.4" hidden="false" customHeight="false" outlineLevel="0" collapsed="false">
      <c r="A32" s="14" t="s">
        <v>239</v>
      </c>
      <c r="B32" s="102" t="n">
        <v>0.668792871428572</v>
      </c>
      <c r="C32" s="14" t="s">
        <v>240</v>
      </c>
      <c r="D32" s="3"/>
      <c r="E32" s="3"/>
      <c r="F32" s="3"/>
    </row>
    <row r="33" customFormat="false" ht="14.4" hidden="false" customHeight="false" outlineLevel="0" collapsed="false">
      <c r="A33" s="14" t="s">
        <v>241</v>
      </c>
      <c r="B33" s="103" t="n">
        <v>10295.452203</v>
      </c>
      <c r="C33" s="14" t="s">
        <v>242</v>
      </c>
      <c r="D33" s="3"/>
      <c r="E33" s="3"/>
      <c r="F33" s="3"/>
    </row>
    <row r="34" customFormat="false" ht="14.4" hidden="false" customHeight="false" outlineLevel="0" collapsed="false">
      <c r="A34" s="104" t="s">
        <v>243</v>
      </c>
      <c r="B34" s="105" t="n">
        <f aca="false">SUM(B30:B32)</f>
        <v>49.0259628714286</v>
      </c>
      <c r="C34" s="104" t="s">
        <v>244</v>
      </c>
      <c r="D34" s="3"/>
      <c r="E34" s="3"/>
      <c r="F34" s="3"/>
    </row>
    <row r="35" customFormat="false" ht="14.4" hidden="false" customHeight="false" outlineLevel="0" collapsed="false">
      <c r="A35" s="3"/>
      <c r="B35" s="3"/>
      <c r="C35" s="3"/>
      <c r="D35" s="3"/>
      <c r="E35" s="3"/>
      <c r="F35" s="3"/>
    </row>
    <row r="36" customFormat="false" ht="30" hidden="false" customHeight="true" outlineLevel="0" collapsed="false">
      <c r="A36" s="63" t="s">
        <v>245</v>
      </c>
      <c r="B36" s="63"/>
      <c r="C36" s="63"/>
      <c r="D36" s="63"/>
      <c r="E36" s="63"/>
      <c r="F36" s="63"/>
    </row>
    <row r="37" customFormat="false" ht="14.4" hidden="false" customHeight="false" outlineLevel="0" collapsed="false">
      <c r="A37" s="63"/>
      <c r="B37" s="63"/>
      <c r="C37" s="63"/>
      <c r="D37" s="63"/>
      <c r="E37" s="63"/>
      <c r="F37" s="63"/>
    </row>
  </sheetData>
  <mergeCells count="8">
    <mergeCell ref="A1:F1"/>
    <mergeCell ref="A2:F2"/>
    <mergeCell ref="A4:F4"/>
    <mergeCell ref="A11:F11"/>
    <mergeCell ref="A20:F20"/>
    <mergeCell ref="A26:F27"/>
    <mergeCell ref="A28:F28"/>
    <mergeCell ref="A36:F3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4" customHeight="false"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4" min="4" style="0" width="14"/>
    <col collapsed="false" customWidth="true" hidden="false" outlineLevel="0" max="5" min="5" style="0" width="22"/>
    <col collapsed="false" customWidth="true" hidden="false" outlineLevel="0" max="6" min="6" style="0" width="17"/>
    <col collapsed="false" customWidth="true" hidden="false" outlineLevel="0" max="8" min="7" style="0" width="14"/>
    <col collapsed="false" customWidth="true" hidden="false" outlineLevel="0" max="9" min="9" style="0" width="18"/>
    <col collapsed="false" customWidth="true" hidden="false" outlineLevel="0" max="11" min="10" style="0" width="14"/>
    <col collapsed="false" customWidth="true" hidden="false" outlineLevel="0" max="12" min="12" style="0" width="27"/>
    <col collapsed="false" customWidth="true" hidden="false" outlineLevel="0" max="14" min="13" style="0" width="12"/>
    <col collapsed="false" customWidth="true" hidden="false" outlineLevel="0" max="16" min="15" style="0" width="13"/>
    <col collapsed="false" customWidth="true" hidden="false" outlineLevel="0" max="17" min="17" style="0" width="12"/>
    <col collapsed="false" customWidth="true" hidden="false" outlineLevel="0" max="18" min="18" style="0" width="15"/>
    <col collapsed="false" customWidth="true" hidden="false" outlineLevel="0" max="19" min="19" style="0" width="42"/>
    <col collapsed="false" customWidth="true" hidden="false" outlineLevel="0" max="20" min="20" style="0" width="17"/>
    <col collapsed="false" customWidth="true" hidden="false" outlineLevel="0" max="21" min="21" style="0" width="28"/>
    <col collapsed="false" customWidth="true" hidden="false" outlineLevel="0" max="25" min="22" style="0" width="18"/>
    <col collapsed="false" customWidth="true" hidden="false" outlineLevel="0" max="26" min="26" style="0" width="30"/>
  </cols>
  <sheetData>
    <row r="1" customFormat="false" ht="25.5" hidden="false" customHeight="true" outlineLevel="0" collapsed="false">
      <c r="A1" s="1" t="s">
        <v>246</v>
      </c>
      <c r="B1" s="1"/>
      <c r="C1" s="1"/>
      <c r="D1" s="1"/>
      <c r="E1" s="1"/>
      <c r="F1" s="1"/>
      <c r="G1" s="1"/>
      <c r="H1" s="1"/>
      <c r="I1" s="1"/>
      <c r="J1" s="1"/>
      <c r="K1" s="1"/>
      <c r="L1" s="1"/>
      <c r="M1" s="1"/>
      <c r="N1" s="1"/>
      <c r="O1" s="1"/>
      <c r="P1" s="1"/>
      <c r="Q1" s="1"/>
      <c r="R1" s="1"/>
      <c r="S1" s="1"/>
      <c r="T1" s="1"/>
      <c r="U1" s="1"/>
      <c r="V1" s="1"/>
      <c r="W1" s="1"/>
      <c r="X1" s="1"/>
      <c r="Y1" s="1"/>
      <c r="Z1" s="1"/>
    </row>
    <row r="2" customFormat="false" ht="18" hidden="false" customHeight="true" outlineLevel="0" collapsed="false">
      <c r="A2" s="2" t="s">
        <v>247</v>
      </c>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33"/>
      <c r="B3" s="33"/>
      <c r="C3" s="33"/>
      <c r="D3" s="33"/>
      <c r="E3" s="33"/>
      <c r="F3" s="33"/>
      <c r="G3" s="33"/>
      <c r="H3" s="33"/>
      <c r="I3" s="33"/>
      <c r="J3" s="33"/>
      <c r="K3" s="33"/>
      <c r="L3" s="33"/>
      <c r="M3" s="33"/>
      <c r="N3" s="33"/>
      <c r="O3" s="33"/>
      <c r="P3" s="33"/>
      <c r="Q3" s="33"/>
      <c r="R3" s="33"/>
      <c r="S3" s="33"/>
      <c r="T3" s="33"/>
      <c r="U3" s="33"/>
      <c r="V3" s="33"/>
      <c r="W3" s="33"/>
      <c r="X3" s="33"/>
      <c r="Y3" s="33"/>
      <c r="Z3" s="3"/>
    </row>
    <row r="4" customFormat="false" ht="19.5" hidden="false" customHeight="true" outlineLevel="0" collapsed="false">
      <c r="A4" s="44" t="s">
        <v>248</v>
      </c>
      <c r="B4" s="44"/>
      <c r="C4" s="44"/>
      <c r="D4" s="44"/>
      <c r="E4" s="44"/>
      <c r="F4" s="44"/>
      <c r="G4" s="44"/>
      <c r="H4" s="44"/>
      <c r="I4" s="44"/>
      <c r="J4" s="44"/>
      <c r="K4" s="44"/>
      <c r="L4" s="44"/>
      <c r="M4" s="44"/>
      <c r="N4" s="44"/>
      <c r="O4" s="44"/>
      <c r="P4" s="44"/>
      <c r="Q4" s="44"/>
      <c r="R4" s="44"/>
      <c r="S4" s="44"/>
      <c r="T4" s="44"/>
      <c r="U4" s="44"/>
      <c r="V4" s="44"/>
      <c r="W4" s="44"/>
      <c r="X4" s="44"/>
      <c r="Y4" s="44"/>
      <c r="Z4" s="44"/>
    </row>
    <row r="5" customFormat="false" ht="33.75" hidden="false" customHeight="true" outlineLevel="0" collapsed="false">
      <c r="A5" s="45" t="s">
        <v>249</v>
      </c>
      <c r="B5" s="45" t="s">
        <v>7</v>
      </c>
      <c r="C5" s="45" t="s">
        <v>9</v>
      </c>
      <c r="D5" s="45" t="s">
        <v>250</v>
      </c>
      <c r="E5" s="45" t="s">
        <v>251</v>
      </c>
      <c r="F5" s="45" t="s">
        <v>252</v>
      </c>
      <c r="G5" s="45" t="s">
        <v>253</v>
      </c>
      <c r="H5" s="45" t="s">
        <v>25</v>
      </c>
      <c r="I5" s="45" t="s">
        <v>254</v>
      </c>
      <c r="J5" s="45" t="s">
        <v>140</v>
      </c>
      <c r="K5" s="45" t="s">
        <v>255</v>
      </c>
      <c r="L5" s="45" t="s">
        <v>256</v>
      </c>
      <c r="M5" s="45" t="s">
        <v>10</v>
      </c>
      <c r="N5" s="45" t="s">
        <v>257</v>
      </c>
      <c r="O5" s="45" t="s">
        <v>27</v>
      </c>
      <c r="P5" s="45" t="s">
        <v>21</v>
      </c>
      <c r="Q5" s="45" t="s">
        <v>258</v>
      </c>
      <c r="R5" s="45" t="s">
        <v>259</v>
      </c>
      <c r="S5" s="45" t="s">
        <v>260</v>
      </c>
      <c r="T5" s="45" t="s">
        <v>57</v>
      </c>
      <c r="U5" s="45" t="s">
        <v>261</v>
      </c>
      <c r="V5" s="45" t="s">
        <v>262</v>
      </c>
      <c r="W5" s="45" t="s">
        <v>263</v>
      </c>
      <c r="X5" s="45" t="s">
        <v>264</v>
      </c>
      <c r="Y5" s="45" t="s">
        <v>265</v>
      </c>
      <c r="Z5" s="20" t="s">
        <v>266</v>
      </c>
    </row>
    <row r="6" customFormat="false" ht="23.85" hidden="false" customHeight="false" outlineLevel="0" collapsed="false">
      <c r="A6" s="48" t="n">
        <v>1</v>
      </c>
      <c r="B6" s="48" t="s">
        <v>267</v>
      </c>
      <c r="C6" s="48" t="s">
        <v>268</v>
      </c>
      <c r="D6" s="106" t="n">
        <v>44967</v>
      </c>
      <c r="E6" s="48" t="s">
        <v>269</v>
      </c>
      <c r="F6" s="48" t="s">
        <v>270</v>
      </c>
      <c r="G6" s="73" t="n">
        <v>209</v>
      </c>
      <c r="H6" s="73" t="n">
        <v>245</v>
      </c>
      <c r="I6" s="73" t="s">
        <v>271</v>
      </c>
      <c r="J6" s="73" t="n">
        <v>380</v>
      </c>
      <c r="K6" s="73" t="n">
        <v>21</v>
      </c>
      <c r="L6" s="48" t="s">
        <v>272</v>
      </c>
      <c r="M6" s="107" t="n">
        <f aca="false">H6/J6</f>
        <v>0.644736842105263</v>
      </c>
      <c r="N6" s="107" t="n">
        <f aca="false">H6/K6</f>
        <v>11.6666666666667</v>
      </c>
      <c r="O6" s="108" t="n">
        <v>13</v>
      </c>
      <c r="P6" s="108" t="n">
        <v>6.5</v>
      </c>
      <c r="Q6" s="109" t="n">
        <f aca="false">O6/P6-1</f>
        <v>1</v>
      </c>
      <c r="R6" s="48" t="s">
        <v>88</v>
      </c>
      <c r="S6" s="48" t="s">
        <v>273</v>
      </c>
      <c r="T6" s="48" t="s">
        <v>274</v>
      </c>
      <c r="U6" s="48" t="s">
        <v>275</v>
      </c>
      <c r="V6" s="48" t="n">
        <f aca="false">COUNTIFS($B$6:$B$13,B6,$C$6:$C$13,C6)</f>
        <v>1</v>
      </c>
      <c r="W6" s="110" t="str">
        <f aca="false">IF(ABS(M6-H6/J6)&lt;0.0001,"PASS","REVIEW")</f>
        <v>PASS</v>
      </c>
      <c r="X6" s="110" t="str">
        <f aca="false">IF(ISNUMBER(SEARCH("implied by disclosed",L6)),"DERIVED — DISCLOSED MULTIPLE",IF(ABS(N6-H6/K6)&lt;0.0001,"PASS","REVIEW"))</f>
        <v>PASS</v>
      </c>
      <c r="Y6" s="110" t="s">
        <v>276</v>
      </c>
      <c r="Z6" s="111" t="s">
        <v>277</v>
      </c>
    </row>
    <row r="7" customFormat="false" ht="23.25" hidden="false" customHeight="true" outlineLevel="0" collapsed="false">
      <c r="A7" s="52" t="n">
        <v>2</v>
      </c>
      <c r="B7" s="52" t="s">
        <v>278</v>
      </c>
      <c r="C7" s="52" t="s">
        <v>279</v>
      </c>
      <c r="D7" s="56" t="n">
        <v>45384</v>
      </c>
      <c r="E7" s="52" t="s">
        <v>280</v>
      </c>
      <c r="F7" s="52" t="s">
        <v>270</v>
      </c>
      <c r="G7" s="62" t="n">
        <v>7700</v>
      </c>
      <c r="H7" s="62" t="n">
        <v>8012</v>
      </c>
      <c r="I7" s="62" t="s">
        <v>136</v>
      </c>
      <c r="J7" s="62" t="n">
        <v>3759</v>
      </c>
      <c r="K7" s="62" t="n">
        <v>771.221</v>
      </c>
      <c r="L7" s="52" t="s">
        <v>148</v>
      </c>
      <c r="M7" s="112" t="n">
        <f aca="false">H7/J7</f>
        <v>2.13141793030061</v>
      </c>
      <c r="N7" s="112" t="n">
        <f aca="false">H7/K7</f>
        <v>10.3887212614802</v>
      </c>
      <c r="O7" s="60" t="s">
        <v>281</v>
      </c>
      <c r="P7" s="60" t="s">
        <v>281</v>
      </c>
      <c r="Q7" s="61" t="n">
        <v>0.147</v>
      </c>
      <c r="R7" s="52" t="s">
        <v>282</v>
      </c>
      <c r="S7" s="52" t="s">
        <v>283</v>
      </c>
      <c r="T7" s="52" t="s">
        <v>284</v>
      </c>
      <c r="U7" s="52" t="s">
        <v>275</v>
      </c>
      <c r="V7" s="52" t="n">
        <f aca="false">COUNTIFS($B$6:$B$13,B7,$C$6:$C$13,C7)</f>
        <v>1</v>
      </c>
      <c r="W7" s="113" t="str">
        <f aca="false">IF(ABS(M7-H7/J7)&lt;0.0001,"PASS","REVIEW")</f>
        <v>PASS</v>
      </c>
      <c r="X7" s="113" t="str">
        <f aca="false">IF(ISNUMBER(SEARCH("implied by disclosed",L7)),"DERIVED — DISCLOSED MULTIPLE",IF(ABS(N7-H7/K7)&lt;0.0001,"PASS","REVIEW"))</f>
        <v>PASS</v>
      </c>
      <c r="Y7" s="113" t="s">
        <v>276</v>
      </c>
      <c r="Z7" s="114" t="s">
        <v>285</v>
      </c>
    </row>
    <row r="8" customFormat="false" ht="23.85" hidden="false" customHeight="false" outlineLevel="0" collapsed="false">
      <c r="A8" s="52" t="n">
        <v>3</v>
      </c>
      <c r="B8" s="52" t="s">
        <v>286</v>
      </c>
      <c r="C8" s="52" t="s">
        <v>287</v>
      </c>
      <c r="D8" s="56" t="n">
        <v>45028</v>
      </c>
      <c r="E8" s="52" t="s">
        <v>288</v>
      </c>
      <c r="F8" s="52" t="s">
        <v>270</v>
      </c>
      <c r="G8" s="62" t="n">
        <v>8200</v>
      </c>
      <c r="H8" s="62" t="n">
        <v>8653</v>
      </c>
      <c r="I8" s="62" t="s">
        <v>135</v>
      </c>
      <c r="J8" s="62" t="n">
        <v>1656.975</v>
      </c>
      <c r="K8" s="62" t="n">
        <v>282.776</v>
      </c>
      <c r="L8" s="52" t="s">
        <v>289</v>
      </c>
      <c r="M8" s="112" t="n">
        <f aca="false">H8/J8</f>
        <v>5.22216690052656</v>
      </c>
      <c r="N8" s="112" t="n">
        <f aca="false">H8/K8</f>
        <v>30.6001923784197</v>
      </c>
      <c r="O8" s="60" t="n">
        <v>60</v>
      </c>
      <c r="P8" s="60" t="n">
        <v>40.17</v>
      </c>
      <c r="Q8" s="61" t="n">
        <f aca="false">O8/P8-1</f>
        <v>0.493651979088872</v>
      </c>
      <c r="R8" s="52" t="s">
        <v>88</v>
      </c>
      <c r="S8" s="52" t="s">
        <v>290</v>
      </c>
      <c r="T8" s="52" t="s">
        <v>291</v>
      </c>
      <c r="U8" s="52" t="s">
        <v>275</v>
      </c>
      <c r="V8" s="52" t="n">
        <f aca="false">COUNTIFS($B$6:$B$13,B8,$C$6:$C$13,C8)</f>
        <v>1</v>
      </c>
      <c r="W8" s="113" t="str">
        <f aca="false">IF(ABS(M8-H8/J8)&lt;0.0001,"PASS","REVIEW")</f>
        <v>PASS</v>
      </c>
      <c r="X8" s="113" t="str">
        <f aca="false">IF(ISNUMBER(SEARCH("implied by disclosed",L8)),"DERIVED — DISCLOSED MULTIPLE",IF(ABS(N8-H8/K8)&lt;0.0001,"PASS","REVIEW"))</f>
        <v>PASS</v>
      </c>
      <c r="Y8" s="113" t="s">
        <v>276</v>
      </c>
      <c r="Z8" s="114" t="s">
        <v>292</v>
      </c>
    </row>
    <row r="9" customFormat="false" ht="35.05" hidden="false" customHeight="false" outlineLevel="0" collapsed="false">
      <c r="A9" s="52" t="n">
        <v>4</v>
      </c>
      <c r="B9" s="52" t="s">
        <v>293</v>
      </c>
      <c r="C9" s="52" t="s">
        <v>294</v>
      </c>
      <c r="D9" s="56" t="n">
        <v>44861</v>
      </c>
      <c r="E9" s="52" t="s">
        <v>295</v>
      </c>
      <c r="F9" s="52" t="s">
        <v>270</v>
      </c>
      <c r="G9" s="62" t="n">
        <v>4090</v>
      </c>
      <c r="H9" s="62" t="n">
        <v>4950</v>
      </c>
      <c r="I9" s="62" t="s">
        <v>296</v>
      </c>
      <c r="J9" s="62" t="n">
        <v>1945.9</v>
      </c>
      <c r="K9" s="62" t="n">
        <v>363.9706</v>
      </c>
      <c r="L9" s="52" t="s">
        <v>297</v>
      </c>
      <c r="M9" s="112" t="n">
        <f aca="false">H9/J9</f>
        <v>2.54381006218202</v>
      </c>
      <c r="N9" s="112" t="n">
        <f aca="false">H9/K9</f>
        <v>13.5999995604041</v>
      </c>
      <c r="O9" s="60" t="n">
        <v>62</v>
      </c>
      <c r="P9" s="60" t="n">
        <v>40.2597</v>
      </c>
      <c r="Q9" s="61" t="n">
        <f aca="false">O9/P9-1</f>
        <v>0.54000154000154</v>
      </c>
      <c r="R9" s="52" t="s">
        <v>88</v>
      </c>
      <c r="S9" s="52" t="s">
        <v>298</v>
      </c>
      <c r="T9" s="52" t="s">
        <v>299</v>
      </c>
      <c r="U9" s="52" t="s">
        <v>275</v>
      </c>
      <c r="V9" s="52" t="n">
        <f aca="false">COUNTIFS($B$6:$B$13,B9,$C$6:$C$13,C9)</f>
        <v>1</v>
      </c>
      <c r="W9" s="113" t="str">
        <f aca="false">IF(ABS(M9-H9/J9)&lt;0.0001,"PASS","REVIEW")</f>
        <v>PASS</v>
      </c>
      <c r="X9" s="115" t="str">
        <f aca="false">IF(ISNUMBER(SEARCH("implied by disclosed",L9)),"DERIVED — DISCLOSED MULTIPLE",IF(ABS(N9-H9/K9)&lt;0.0001,"PASS","REVIEW"))</f>
        <v>DERIVED — DISCLOSED MULTIPLE</v>
      </c>
      <c r="Y9" s="113" t="s">
        <v>276</v>
      </c>
      <c r="Z9" s="114" t="s">
        <v>300</v>
      </c>
    </row>
    <row r="10" customFormat="false" ht="23.85" hidden="false" customHeight="false" outlineLevel="0" collapsed="false">
      <c r="A10" s="52" t="n">
        <v>5</v>
      </c>
      <c r="B10" s="52" t="s">
        <v>301</v>
      </c>
      <c r="C10" s="52" t="s">
        <v>302</v>
      </c>
      <c r="D10" s="56" t="n">
        <v>44874</v>
      </c>
      <c r="E10" s="52" t="s">
        <v>303</v>
      </c>
      <c r="F10" s="52" t="s">
        <v>304</v>
      </c>
      <c r="G10" s="62" t="n">
        <v>4404.9</v>
      </c>
      <c r="H10" s="62" t="n">
        <v>4404.9</v>
      </c>
      <c r="I10" s="62" t="s">
        <v>305</v>
      </c>
      <c r="J10" s="62" t="n">
        <v>1800</v>
      </c>
      <c r="K10" s="62" t="n">
        <v>335</v>
      </c>
      <c r="L10" s="52" t="s">
        <v>306</v>
      </c>
      <c r="M10" s="112" t="n">
        <f aca="false">H10/J10</f>
        <v>2.44716666666667</v>
      </c>
      <c r="N10" s="112" t="n">
        <f aca="false">H10/K10</f>
        <v>13.1489552238806</v>
      </c>
      <c r="O10" s="60" t="s">
        <v>281</v>
      </c>
      <c r="P10" s="60" t="s">
        <v>281</v>
      </c>
      <c r="Q10" s="61" t="s">
        <v>281</v>
      </c>
      <c r="R10" s="52" t="s">
        <v>307</v>
      </c>
      <c r="S10" s="52" t="s">
        <v>308</v>
      </c>
      <c r="T10" s="52" t="s">
        <v>309</v>
      </c>
      <c r="U10" s="52" t="s">
        <v>275</v>
      </c>
      <c r="V10" s="52" t="n">
        <f aca="false">COUNTIFS($B$6:$B$13,B10,$C$6:$C$13,C10)</f>
        <v>1</v>
      </c>
      <c r="W10" s="113" t="str">
        <f aca="false">IF(ABS(M10-H10/J10)&lt;0.0001,"PASS","REVIEW")</f>
        <v>PASS</v>
      </c>
      <c r="X10" s="113" t="str">
        <f aca="false">IF(ISNUMBER(SEARCH("implied by disclosed",L10)),"DERIVED — DISCLOSED MULTIPLE",IF(ABS(N10-H10/K10)&lt;0.0001,"PASS","REVIEW"))</f>
        <v>PASS</v>
      </c>
      <c r="Y10" s="113" t="s">
        <v>276</v>
      </c>
      <c r="Z10" s="114" t="s">
        <v>310</v>
      </c>
    </row>
    <row r="11" customFormat="false" ht="23.85" hidden="false" customHeight="false" outlineLevel="0" collapsed="false">
      <c r="A11" s="52" t="n">
        <v>6</v>
      </c>
      <c r="B11" s="52" t="s">
        <v>311</v>
      </c>
      <c r="C11" s="52" t="s">
        <v>312</v>
      </c>
      <c r="D11" s="56" t="n">
        <v>41904</v>
      </c>
      <c r="E11" s="52" t="s">
        <v>313</v>
      </c>
      <c r="F11" s="52" t="s">
        <v>270</v>
      </c>
      <c r="G11" s="62" t="n">
        <v>6400</v>
      </c>
      <c r="H11" s="62" t="n">
        <v>7600</v>
      </c>
      <c r="I11" s="62" t="s">
        <v>314</v>
      </c>
      <c r="J11" s="62" t="n">
        <v>2946.19</v>
      </c>
      <c r="K11" s="62" t="n">
        <v>693.32</v>
      </c>
      <c r="L11" s="52" t="s">
        <v>289</v>
      </c>
      <c r="M11" s="112" t="n">
        <f aca="false">H11/J11</f>
        <v>2.57960280905169</v>
      </c>
      <c r="N11" s="112" t="n">
        <f aca="false">H11/K11</f>
        <v>10.9617492644089</v>
      </c>
      <c r="O11" s="60" t="n">
        <v>83</v>
      </c>
      <c r="P11" s="60" t="s">
        <v>281</v>
      </c>
      <c r="Q11" s="61" t="s">
        <v>281</v>
      </c>
      <c r="R11" s="52" t="s">
        <v>88</v>
      </c>
      <c r="S11" s="52" t="s">
        <v>315</v>
      </c>
      <c r="T11" s="52" t="s">
        <v>316</v>
      </c>
      <c r="U11" s="52" t="s">
        <v>275</v>
      </c>
      <c r="V11" s="52" t="n">
        <f aca="false">COUNTIFS($B$6:$B$13,B11,$C$6:$C$13,C11)</f>
        <v>1</v>
      </c>
      <c r="W11" s="113" t="str">
        <f aca="false">IF(ABS(M11-H11/J11)&lt;0.0001,"PASS","REVIEW")</f>
        <v>PASS</v>
      </c>
      <c r="X11" s="113" t="str">
        <f aca="false">IF(ISNUMBER(SEARCH("implied by disclosed",L11)),"DERIVED — DISCLOSED MULTIPLE",IF(ABS(N11-H11/K11)&lt;0.0001,"PASS","REVIEW"))</f>
        <v>PASS</v>
      </c>
      <c r="Y11" s="113" t="s">
        <v>276</v>
      </c>
      <c r="Z11" s="114" t="s">
        <v>317</v>
      </c>
    </row>
    <row r="12" customFormat="false" ht="35.05" hidden="false" customHeight="false" outlineLevel="0" collapsed="false">
      <c r="A12" s="52" t="n">
        <v>7</v>
      </c>
      <c r="B12" s="52" t="s">
        <v>318</v>
      </c>
      <c r="C12" s="52" t="s">
        <v>319</v>
      </c>
      <c r="D12" s="56" t="n">
        <v>41341</v>
      </c>
      <c r="E12" s="52" t="s">
        <v>320</v>
      </c>
      <c r="F12" s="52" t="s">
        <v>321</v>
      </c>
      <c r="G12" s="62" t="n">
        <v>3782</v>
      </c>
      <c r="H12" s="62" t="n">
        <v>3900</v>
      </c>
      <c r="I12" s="62" t="s">
        <v>322</v>
      </c>
      <c r="J12" s="62" t="n">
        <v>2360</v>
      </c>
      <c r="K12" s="62" t="n">
        <v>469.8795</v>
      </c>
      <c r="L12" s="52" t="s">
        <v>323</v>
      </c>
      <c r="M12" s="112" t="n">
        <f aca="false">H12/J12</f>
        <v>1.65254237288136</v>
      </c>
      <c r="N12" s="112" t="n">
        <f aca="false">H12/K12</f>
        <v>8.30000031923078</v>
      </c>
      <c r="O12" s="60" t="n">
        <v>76</v>
      </c>
      <c r="P12" s="60" t="n">
        <v>54.75</v>
      </c>
      <c r="Q12" s="61" t="n">
        <f aca="false">O12/P12-1</f>
        <v>0.388127853881278</v>
      </c>
      <c r="R12" s="52" t="s">
        <v>88</v>
      </c>
      <c r="S12" s="52" t="s">
        <v>324</v>
      </c>
      <c r="T12" s="52" t="s">
        <v>325</v>
      </c>
      <c r="U12" s="52" t="s">
        <v>275</v>
      </c>
      <c r="V12" s="52" t="n">
        <f aca="false">COUNTIFS($B$6:$B$13,B12,$C$6:$C$13,C12)</f>
        <v>1</v>
      </c>
      <c r="W12" s="113" t="str">
        <f aca="false">IF(ABS(M12-H12/J12)&lt;0.0001,"PASS","REVIEW")</f>
        <v>PASS</v>
      </c>
      <c r="X12" s="115" t="str">
        <f aca="false">IF(ISNUMBER(SEARCH("implied by disclosed",L12)),"DERIVED — DISCLOSED MULTIPLE",IF(ABS(N12-H12/K12)&lt;0.0001,"PASS","REVIEW"))</f>
        <v>DERIVED — DISCLOSED MULTIPLE</v>
      </c>
      <c r="Y12" s="113" t="s">
        <v>276</v>
      </c>
      <c r="Z12" s="114" t="s">
        <v>326</v>
      </c>
    </row>
    <row r="13" customFormat="false" ht="23.85" hidden="false" customHeight="false" outlineLevel="0" collapsed="false">
      <c r="A13" s="52" t="n">
        <v>8</v>
      </c>
      <c r="B13" s="52" t="s">
        <v>327</v>
      </c>
      <c r="C13" s="52" t="s">
        <v>328</v>
      </c>
      <c r="D13" s="56" t="n">
        <v>40497</v>
      </c>
      <c r="E13" s="52" t="s">
        <v>329</v>
      </c>
      <c r="F13" s="52" t="s">
        <v>270</v>
      </c>
      <c r="G13" s="62" t="n">
        <v>7600</v>
      </c>
      <c r="H13" s="62" t="n">
        <v>8609</v>
      </c>
      <c r="I13" s="62" t="s">
        <v>330</v>
      </c>
      <c r="J13" s="62" t="n">
        <v>3650.563</v>
      </c>
      <c r="K13" s="62" t="n">
        <v>720.647</v>
      </c>
      <c r="L13" s="52" t="s">
        <v>148</v>
      </c>
      <c r="M13" s="112" t="n">
        <f aca="false">H13/J13</f>
        <v>2.35826638247306</v>
      </c>
      <c r="N13" s="112" t="n">
        <f aca="false">H13/K13</f>
        <v>11.9462094478989</v>
      </c>
      <c r="O13" s="60" t="n">
        <v>92</v>
      </c>
      <c r="P13" s="60" t="n">
        <v>69.697</v>
      </c>
      <c r="Q13" s="61" t="n">
        <f aca="false">O13/P13-1</f>
        <v>0.319999426087206</v>
      </c>
      <c r="R13" s="52" t="s">
        <v>88</v>
      </c>
      <c r="S13" s="52" t="s">
        <v>331</v>
      </c>
      <c r="T13" s="52" t="s">
        <v>332</v>
      </c>
      <c r="U13" s="52" t="s">
        <v>275</v>
      </c>
      <c r="V13" s="52" t="n">
        <f aca="false">COUNTIFS($B$6:$B$13,B13,$C$6:$C$13,C13)</f>
        <v>1</v>
      </c>
      <c r="W13" s="113" t="str">
        <f aca="false">IF(ABS(M13-H13/J13)&lt;0.0001,"PASS","REVIEW")</f>
        <v>PASS</v>
      </c>
      <c r="X13" s="113" t="str">
        <f aca="false">IF(ISNUMBER(SEARCH("implied by disclosed",L13)),"DERIVED — DISCLOSED MULTIPLE",IF(ABS(N13-H13/K13)&lt;0.0001,"PASS","REVIEW"))</f>
        <v>PASS</v>
      </c>
      <c r="Y13" s="113" t="s">
        <v>276</v>
      </c>
      <c r="Z13" s="114" t="s">
        <v>333</v>
      </c>
    </row>
    <row r="14" customFormat="false" ht="15" hidden="false" customHeight="true" outlineLevel="0" collapsed="false">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116"/>
    </row>
    <row r="15" customFormat="false" ht="15" hidden="false" customHeight="true" outlineLevel="0" collapsed="false">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116"/>
    </row>
    <row r="16" customFormat="false" ht="19.5" hidden="false" customHeight="true" outlineLevel="0" collapsed="false">
      <c r="A16" s="44" t="s">
        <v>334</v>
      </c>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customFormat="false" ht="33.75" hidden="false" customHeight="true" outlineLevel="0" collapsed="false">
      <c r="A17" s="45" t="s">
        <v>249</v>
      </c>
      <c r="B17" s="45" t="s">
        <v>7</v>
      </c>
      <c r="C17" s="45" t="s">
        <v>9</v>
      </c>
      <c r="D17" s="45" t="s">
        <v>250</v>
      </c>
      <c r="E17" s="45" t="s">
        <v>251</v>
      </c>
      <c r="F17" s="45" t="s">
        <v>252</v>
      </c>
      <c r="G17" s="45" t="s">
        <v>253</v>
      </c>
      <c r="H17" s="45" t="s">
        <v>25</v>
      </c>
      <c r="I17" s="45" t="s">
        <v>254</v>
      </c>
      <c r="J17" s="45" t="s">
        <v>140</v>
      </c>
      <c r="K17" s="45" t="s">
        <v>255</v>
      </c>
      <c r="L17" s="45" t="s">
        <v>256</v>
      </c>
      <c r="M17" s="45" t="s">
        <v>10</v>
      </c>
      <c r="N17" s="45" t="s">
        <v>257</v>
      </c>
      <c r="O17" s="45" t="s">
        <v>27</v>
      </c>
      <c r="P17" s="45" t="s">
        <v>21</v>
      </c>
      <c r="Q17" s="45" t="s">
        <v>258</v>
      </c>
      <c r="R17" s="45" t="s">
        <v>259</v>
      </c>
      <c r="S17" s="45" t="s">
        <v>260</v>
      </c>
      <c r="T17" s="45" t="s">
        <v>57</v>
      </c>
      <c r="U17" s="45" t="s">
        <v>261</v>
      </c>
      <c r="V17" s="45" t="s">
        <v>262</v>
      </c>
      <c r="W17" s="45" t="s">
        <v>263</v>
      </c>
      <c r="X17" s="117" t="str">
        <f aca="false">IF(ISNUMBER(SEARCH("implied by disclosed",L17)),"DERIVED — DISCLOSED MULTIPLE","NOT APPLICABLE — SUPPLEMENTAL")</f>
        <v>NOT APPLICABLE — SUPPLEMENTAL</v>
      </c>
      <c r="Y17" s="45" t="s">
        <v>265</v>
      </c>
      <c r="Z17" s="20" t="s">
        <v>266</v>
      </c>
    </row>
    <row r="18" customFormat="false" ht="35.05" hidden="false" customHeight="false" outlineLevel="0" collapsed="false">
      <c r="A18" s="48" t="n">
        <v>9</v>
      </c>
      <c r="B18" s="48" t="s">
        <v>335</v>
      </c>
      <c r="C18" s="48" t="s">
        <v>336</v>
      </c>
      <c r="D18" s="106" t="n">
        <v>45720</v>
      </c>
      <c r="E18" s="48" t="s">
        <v>337</v>
      </c>
      <c r="F18" s="48" t="s">
        <v>304</v>
      </c>
      <c r="G18" s="118" t="s">
        <v>281</v>
      </c>
      <c r="H18" s="118" t="n">
        <v>2160</v>
      </c>
      <c r="I18" s="118" t="s">
        <v>137</v>
      </c>
      <c r="J18" s="118" t="s">
        <v>281</v>
      </c>
      <c r="K18" s="118" t="n">
        <v>148.966</v>
      </c>
      <c r="L18" s="48" t="s">
        <v>338</v>
      </c>
      <c r="M18" s="119" t="s">
        <v>281</v>
      </c>
      <c r="N18" s="119" t="n">
        <v>14.5</v>
      </c>
      <c r="O18" s="48" t="s">
        <v>281</v>
      </c>
      <c r="P18" s="48" t="s">
        <v>281</v>
      </c>
      <c r="Q18" s="48" t="s">
        <v>281</v>
      </c>
      <c r="R18" s="48" t="s">
        <v>88</v>
      </c>
      <c r="S18" s="48" t="s">
        <v>339</v>
      </c>
      <c r="T18" s="48" t="s">
        <v>340</v>
      </c>
      <c r="U18" s="48" t="s">
        <v>341</v>
      </c>
      <c r="V18" s="48" t="s">
        <v>342</v>
      </c>
      <c r="W18" s="48" t="s">
        <v>342</v>
      </c>
      <c r="X18" s="120" t="str">
        <f aca="false">IF(ISNUMBER(SEARCH("implied by disclosed",L18)),"DERIVED — FORWARD MULTIPLE","NOT APPLICABLE — SUPPLEMENTAL")</f>
        <v>DERIVED — FORWARD MULTIPLE</v>
      </c>
      <c r="Y18" s="48" t="s">
        <v>276</v>
      </c>
      <c r="Z18" s="111" t="s">
        <v>343</v>
      </c>
    </row>
    <row r="19" customFormat="false" ht="23.85" hidden="false" customHeight="false" outlineLevel="0" collapsed="false">
      <c r="A19" s="52" t="n">
        <v>10</v>
      </c>
      <c r="B19" s="52" t="s">
        <v>344</v>
      </c>
      <c r="C19" s="52" t="s">
        <v>345</v>
      </c>
      <c r="D19" s="56" t="n">
        <v>41372</v>
      </c>
      <c r="E19" s="52" t="s">
        <v>346</v>
      </c>
      <c r="F19" s="52" t="s">
        <v>270</v>
      </c>
      <c r="G19" s="121" t="s">
        <v>281</v>
      </c>
      <c r="H19" s="121" t="n">
        <v>3300</v>
      </c>
      <c r="I19" s="121" t="s">
        <v>347</v>
      </c>
      <c r="J19" s="121" t="n">
        <v>1300</v>
      </c>
      <c r="K19" s="121" t="n">
        <v>244.444</v>
      </c>
      <c r="L19" s="52" t="s">
        <v>348</v>
      </c>
      <c r="M19" s="122" t="n">
        <v>2.538</v>
      </c>
      <c r="N19" s="122" t="n">
        <v>13.5</v>
      </c>
      <c r="O19" s="52" t="s">
        <v>281</v>
      </c>
      <c r="P19" s="52" t="s">
        <v>281</v>
      </c>
      <c r="Q19" s="52" t="s">
        <v>281</v>
      </c>
      <c r="R19" s="52" t="s">
        <v>88</v>
      </c>
      <c r="S19" s="52" t="s">
        <v>349</v>
      </c>
      <c r="T19" s="52" t="s">
        <v>350</v>
      </c>
      <c r="U19" s="52" t="s">
        <v>351</v>
      </c>
      <c r="V19" s="52" t="s">
        <v>342</v>
      </c>
      <c r="W19" s="52" t="s">
        <v>342</v>
      </c>
      <c r="X19" s="52" t="s">
        <v>342</v>
      </c>
      <c r="Y19" s="52" t="s">
        <v>276</v>
      </c>
      <c r="Z19" s="114" t="s">
        <v>352</v>
      </c>
    </row>
    <row r="20" customFormat="false" ht="15" hidden="false" customHeight="true" outlineLevel="0" collapsed="false">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
    </row>
    <row r="21" customFormat="false" ht="15" hidden="false" customHeight="true" outlineLevel="0" collapsed="false">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
    </row>
    <row r="22" customFormat="false" ht="19.5" hidden="false" customHeight="true" outlineLevel="0" collapsed="false">
      <c r="A22" s="44" t="s">
        <v>353</v>
      </c>
      <c r="B22" s="44"/>
      <c r="C22" s="44"/>
      <c r="D22" s="44"/>
      <c r="E22" s="44"/>
      <c r="F22" s="44"/>
      <c r="G22" s="44"/>
      <c r="H22" s="44"/>
      <c r="I22" s="44"/>
      <c r="J22" s="33"/>
      <c r="K22" s="33"/>
      <c r="L22" s="33"/>
      <c r="M22" s="33"/>
      <c r="N22" s="33"/>
      <c r="O22" s="33"/>
      <c r="P22" s="33"/>
      <c r="Q22" s="33"/>
      <c r="R22" s="33"/>
      <c r="S22" s="33"/>
      <c r="T22" s="33"/>
      <c r="U22" s="33"/>
      <c r="V22" s="33"/>
      <c r="W22" s="33"/>
      <c r="X22" s="33"/>
      <c r="Y22" s="33"/>
      <c r="Z22" s="3"/>
    </row>
    <row r="23" customFormat="false" ht="33.75" hidden="false" customHeight="true" outlineLevel="0" collapsed="false">
      <c r="A23" s="45" t="s">
        <v>354</v>
      </c>
      <c r="B23" s="45" t="s">
        <v>355</v>
      </c>
      <c r="C23" s="45" t="s">
        <v>356</v>
      </c>
      <c r="D23" s="45" t="s">
        <v>357</v>
      </c>
      <c r="E23" s="45" t="s">
        <v>358</v>
      </c>
      <c r="F23" s="45" t="s">
        <v>359</v>
      </c>
      <c r="G23" s="45" t="s">
        <v>360</v>
      </c>
      <c r="H23" s="45" t="s">
        <v>361</v>
      </c>
      <c r="I23" s="46" t="s">
        <v>362</v>
      </c>
      <c r="J23" s="33"/>
      <c r="K23" s="33"/>
      <c r="L23" s="33"/>
      <c r="M23" s="33"/>
      <c r="N23" s="33"/>
      <c r="O23" s="33"/>
      <c r="P23" s="33"/>
      <c r="Q23" s="33"/>
      <c r="R23" s="33"/>
      <c r="S23" s="33"/>
      <c r="T23" s="33"/>
      <c r="U23" s="33"/>
      <c r="V23" s="33"/>
      <c r="W23" s="33"/>
      <c r="X23" s="33"/>
      <c r="Y23" s="33"/>
      <c r="Z23" s="3"/>
    </row>
    <row r="24" customFormat="false" ht="35.05" hidden="false" customHeight="false" outlineLevel="0" collapsed="false">
      <c r="A24" s="48" t="s">
        <v>363</v>
      </c>
      <c r="B24" s="123" t="n">
        <v>5</v>
      </c>
      <c r="C24" s="123" t="n">
        <v>5</v>
      </c>
      <c r="D24" s="123" t="n">
        <v>2</v>
      </c>
      <c r="E24" s="123" t="n">
        <v>5</v>
      </c>
      <c r="F24" s="123" t="n">
        <v>5</v>
      </c>
      <c r="G24" s="123" t="n">
        <v>5</v>
      </c>
      <c r="H24" s="124" t="n">
        <f aca="false">SUM(B24:G24)</f>
        <v>27</v>
      </c>
      <c r="I24" s="49" t="s">
        <v>364</v>
      </c>
      <c r="J24" s="33"/>
      <c r="K24" s="33"/>
      <c r="L24" s="33"/>
      <c r="M24" s="33"/>
      <c r="N24" s="33"/>
      <c r="O24" s="33"/>
      <c r="P24" s="33"/>
      <c r="Q24" s="33"/>
      <c r="R24" s="33"/>
      <c r="S24" s="33"/>
      <c r="T24" s="33"/>
      <c r="U24" s="33"/>
      <c r="V24" s="33"/>
      <c r="W24" s="33"/>
      <c r="X24" s="33"/>
      <c r="Y24" s="33"/>
      <c r="Z24" s="3"/>
    </row>
    <row r="25" customFormat="false" ht="23.85" hidden="false" customHeight="false" outlineLevel="0" collapsed="false">
      <c r="A25" s="52" t="s">
        <v>365</v>
      </c>
      <c r="B25" s="125" t="n">
        <v>4</v>
      </c>
      <c r="C25" s="125" t="n">
        <v>4</v>
      </c>
      <c r="D25" s="125" t="n">
        <v>5</v>
      </c>
      <c r="E25" s="125" t="n">
        <v>5</v>
      </c>
      <c r="F25" s="125" t="n">
        <v>5</v>
      </c>
      <c r="G25" s="125" t="n">
        <v>5</v>
      </c>
      <c r="H25" s="126" t="n">
        <f aca="false">SUM(B25:G25)</f>
        <v>28</v>
      </c>
      <c r="I25" s="53" t="s">
        <v>366</v>
      </c>
      <c r="J25" s="33"/>
      <c r="K25" s="33"/>
      <c r="L25" s="33"/>
      <c r="M25" s="33"/>
      <c r="N25" s="33"/>
      <c r="O25" s="33"/>
      <c r="P25" s="33"/>
      <c r="Q25" s="33"/>
      <c r="R25" s="33"/>
      <c r="S25" s="33"/>
      <c r="T25" s="33"/>
      <c r="U25" s="33"/>
      <c r="V25" s="33"/>
      <c r="W25" s="33"/>
      <c r="X25" s="33"/>
      <c r="Y25" s="33"/>
      <c r="Z25" s="3"/>
    </row>
    <row r="26" customFormat="false" ht="45.75" hidden="false" customHeight="true" outlineLevel="0" collapsed="false">
      <c r="A26" s="52" t="s">
        <v>367</v>
      </c>
      <c r="B26" s="125" t="n">
        <v>4</v>
      </c>
      <c r="C26" s="125" t="n">
        <v>4</v>
      </c>
      <c r="D26" s="125" t="n">
        <v>5</v>
      </c>
      <c r="E26" s="125" t="n">
        <v>4</v>
      </c>
      <c r="F26" s="125" t="n">
        <v>5</v>
      </c>
      <c r="G26" s="125" t="n">
        <v>5</v>
      </c>
      <c r="H26" s="126" t="n">
        <f aca="false">SUM(B26:G26)</f>
        <v>27</v>
      </c>
      <c r="I26" s="53" t="s">
        <v>368</v>
      </c>
      <c r="J26" s="33"/>
      <c r="K26" s="33"/>
      <c r="L26" s="33"/>
      <c r="M26" s="33"/>
      <c r="N26" s="33"/>
      <c r="O26" s="33"/>
      <c r="P26" s="33"/>
      <c r="Q26" s="33"/>
      <c r="R26" s="33"/>
      <c r="S26" s="33"/>
      <c r="T26" s="33"/>
      <c r="U26" s="33"/>
      <c r="V26" s="33"/>
      <c r="W26" s="33"/>
      <c r="X26" s="33"/>
      <c r="Y26" s="33"/>
      <c r="Z26" s="3"/>
    </row>
    <row r="27" customFormat="false" ht="35.05" hidden="false" customHeight="false" outlineLevel="0" collapsed="false">
      <c r="A27" s="52" t="s">
        <v>369</v>
      </c>
      <c r="B27" s="125" t="n">
        <v>4</v>
      </c>
      <c r="C27" s="125" t="n">
        <v>5</v>
      </c>
      <c r="D27" s="125" t="n">
        <v>4</v>
      </c>
      <c r="E27" s="125" t="n">
        <v>5</v>
      </c>
      <c r="F27" s="125" t="n">
        <v>5</v>
      </c>
      <c r="G27" s="125" t="n">
        <v>5</v>
      </c>
      <c r="H27" s="126" t="n">
        <f aca="false">SUM(B27:G27)</f>
        <v>28</v>
      </c>
      <c r="I27" s="53" t="s">
        <v>370</v>
      </c>
      <c r="J27" s="33"/>
      <c r="K27" s="33"/>
      <c r="L27" s="33"/>
      <c r="M27" s="33"/>
      <c r="N27" s="33"/>
      <c r="O27" s="33"/>
      <c r="P27" s="33"/>
      <c r="Q27" s="33"/>
      <c r="R27" s="33"/>
      <c r="S27" s="33"/>
      <c r="T27" s="33"/>
      <c r="U27" s="33"/>
      <c r="V27" s="33"/>
      <c r="W27" s="33"/>
      <c r="X27" s="33"/>
      <c r="Y27" s="33"/>
      <c r="Z27" s="3"/>
    </row>
    <row r="28" customFormat="false" ht="35.05" hidden="false" customHeight="false" outlineLevel="0" collapsed="false">
      <c r="A28" s="52" t="s">
        <v>371</v>
      </c>
      <c r="B28" s="125" t="n">
        <v>5</v>
      </c>
      <c r="C28" s="125" t="n">
        <v>5</v>
      </c>
      <c r="D28" s="125" t="n">
        <v>4</v>
      </c>
      <c r="E28" s="125" t="n">
        <v>5</v>
      </c>
      <c r="F28" s="125" t="n">
        <v>5</v>
      </c>
      <c r="G28" s="125" t="n">
        <v>5</v>
      </c>
      <c r="H28" s="126" t="n">
        <f aca="false">SUM(B28:G28)</f>
        <v>29</v>
      </c>
      <c r="I28" s="53" t="s">
        <v>372</v>
      </c>
      <c r="J28" s="33"/>
      <c r="K28" s="33"/>
      <c r="L28" s="33"/>
      <c r="M28" s="33"/>
      <c r="N28" s="33"/>
      <c r="O28" s="33"/>
      <c r="P28" s="33"/>
      <c r="Q28" s="33"/>
      <c r="R28" s="33"/>
      <c r="S28" s="33"/>
      <c r="T28" s="33"/>
      <c r="U28" s="33"/>
      <c r="V28" s="33"/>
      <c r="W28" s="33"/>
      <c r="X28" s="33"/>
      <c r="Y28" s="33"/>
      <c r="Z28" s="3"/>
    </row>
    <row r="29" customFormat="false" ht="34.5" hidden="false" customHeight="true" outlineLevel="0" collapsed="false">
      <c r="A29" s="52" t="s">
        <v>373</v>
      </c>
      <c r="B29" s="125" t="n">
        <v>5</v>
      </c>
      <c r="C29" s="125" t="n">
        <v>5</v>
      </c>
      <c r="D29" s="125" t="n">
        <v>5</v>
      </c>
      <c r="E29" s="125" t="n">
        <v>5</v>
      </c>
      <c r="F29" s="125" t="n">
        <v>2</v>
      </c>
      <c r="G29" s="125" t="n">
        <v>5</v>
      </c>
      <c r="H29" s="126" t="n">
        <f aca="false">SUM(B29:G29)</f>
        <v>27</v>
      </c>
      <c r="I29" s="53" t="s">
        <v>374</v>
      </c>
      <c r="J29" s="33"/>
      <c r="K29" s="33"/>
      <c r="L29" s="33"/>
      <c r="M29" s="33"/>
      <c r="N29" s="33"/>
      <c r="O29" s="33"/>
      <c r="P29" s="33"/>
      <c r="Q29" s="33"/>
      <c r="R29" s="33"/>
      <c r="S29" s="33"/>
      <c r="T29" s="33"/>
      <c r="U29" s="33"/>
      <c r="V29" s="33"/>
      <c r="W29" s="33"/>
      <c r="X29" s="33"/>
      <c r="Y29" s="33"/>
      <c r="Z29" s="3"/>
    </row>
    <row r="30" customFormat="false" ht="35.05" hidden="false" customHeight="false" outlineLevel="0" collapsed="false">
      <c r="A30" s="52" t="s">
        <v>375</v>
      </c>
      <c r="B30" s="125" t="n">
        <v>4</v>
      </c>
      <c r="C30" s="125" t="n">
        <v>5</v>
      </c>
      <c r="D30" s="125" t="n">
        <v>4</v>
      </c>
      <c r="E30" s="125" t="n">
        <v>4</v>
      </c>
      <c r="F30" s="125" t="n">
        <v>1</v>
      </c>
      <c r="G30" s="125" t="n">
        <v>5</v>
      </c>
      <c r="H30" s="126" t="n">
        <f aca="false">SUM(B30:G30)</f>
        <v>23</v>
      </c>
      <c r="I30" s="53" t="s">
        <v>376</v>
      </c>
      <c r="J30" s="33"/>
      <c r="K30" s="33"/>
      <c r="L30" s="33"/>
      <c r="M30" s="33"/>
      <c r="N30" s="33"/>
      <c r="O30" s="33"/>
      <c r="P30" s="33"/>
      <c r="Q30" s="33"/>
      <c r="R30" s="33"/>
      <c r="S30" s="33"/>
      <c r="T30" s="33"/>
      <c r="U30" s="33"/>
      <c r="V30" s="33"/>
      <c r="W30" s="33"/>
      <c r="X30" s="33"/>
      <c r="Y30" s="33"/>
      <c r="Z30" s="3"/>
    </row>
    <row r="31" customFormat="false" ht="35.05" hidden="false" customHeight="false" outlineLevel="0" collapsed="false">
      <c r="A31" s="76" t="s">
        <v>377</v>
      </c>
      <c r="B31" s="127" t="n">
        <v>4</v>
      </c>
      <c r="C31" s="127" t="n">
        <v>4</v>
      </c>
      <c r="D31" s="127" t="n">
        <v>5</v>
      </c>
      <c r="E31" s="127" t="n">
        <v>5</v>
      </c>
      <c r="F31" s="127" t="n">
        <v>1</v>
      </c>
      <c r="G31" s="127" t="n">
        <v>5</v>
      </c>
      <c r="H31" s="128" t="n">
        <f aca="false">SUM(B31:G31)</f>
        <v>24</v>
      </c>
      <c r="I31" s="129" t="s">
        <v>378</v>
      </c>
      <c r="J31" s="33"/>
      <c r="K31" s="33"/>
      <c r="L31" s="33"/>
      <c r="M31" s="33"/>
      <c r="N31" s="33"/>
      <c r="O31" s="33"/>
      <c r="P31" s="33"/>
      <c r="Q31" s="33"/>
      <c r="R31" s="33"/>
      <c r="S31" s="33"/>
      <c r="T31" s="33"/>
      <c r="U31" s="33"/>
      <c r="V31" s="33"/>
      <c r="W31" s="33"/>
      <c r="X31" s="33"/>
      <c r="Y31" s="33"/>
      <c r="Z31" s="3"/>
    </row>
    <row r="32" customFormat="false" ht="15" hidden="false" customHeight="true" outlineLevel="0" collapsed="false">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
    </row>
    <row r="33" customFormat="false" ht="15" hidden="false" customHeight="true" outlineLevel="0" collapsed="false">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
    </row>
    <row r="34" customFormat="false" ht="15" hidden="false" customHeight="true" outlineLevel="0" collapsed="false">
      <c r="A34" s="63" t="s">
        <v>379</v>
      </c>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customFormat="false" ht="15" hidden="false" customHeight="true" outlineLevel="0" collapsed="false">
      <c r="A35" s="63" t="s">
        <v>380</v>
      </c>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customFormat="false" ht="15" hidden="false" customHeight="true" outlineLevel="0" collapsed="false">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sheetData>
  <mergeCells count="6">
    <mergeCell ref="A1:Z1"/>
    <mergeCell ref="A2:Z2"/>
    <mergeCell ref="A4:Z4"/>
    <mergeCell ref="A16:Z16"/>
    <mergeCell ref="A22:I22"/>
    <mergeCell ref="A34:Z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4" customHeight="false"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34"/>
    <col collapsed="false" customWidth="true" hidden="false" outlineLevel="0" max="4" min="4" style="0" width="15"/>
    <col collapsed="false" customWidth="true" hidden="false" outlineLevel="0" max="5" min="5" style="0" width="20"/>
    <col collapsed="false" customWidth="true" hidden="false" outlineLevel="0" max="6" min="6" style="0" width="26"/>
    <col collapsed="false" customWidth="true" hidden="false" outlineLevel="0" max="12" min="7" style="0" width="10"/>
  </cols>
  <sheetData>
    <row r="1" customFormat="false" ht="25.5" hidden="false" customHeight="true" outlineLevel="0" collapsed="false">
      <c r="A1" s="1" t="s">
        <v>381</v>
      </c>
      <c r="B1" s="1"/>
      <c r="C1" s="1"/>
      <c r="D1" s="1"/>
      <c r="E1" s="1"/>
      <c r="F1" s="1"/>
      <c r="G1" s="1"/>
      <c r="H1" s="1"/>
      <c r="I1" s="1"/>
      <c r="J1" s="1"/>
      <c r="K1" s="1"/>
      <c r="L1" s="1"/>
    </row>
    <row r="2" customFormat="false" ht="18" hidden="false" customHeight="true" outlineLevel="0" collapsed="false">
      <c r="A2" s="2" t="s">
        <v>382</v>
      </c>
      <c r="B2" s="2"/>
      <c r="C2" s="2"/>
      <c r="D2" s="2"/>
      <c r="E2" s="2"/>
      <c r="F2" s="2"/>
      <c r="G2" s="2"/>
      <c r="H2" s="2"/>
      <c r="I2" s="2"/>
      <c r="J2" s="2"/>
      <c r="K2" s="2"/>
      <c r="L2" s="2"/>
    </row>
    <row r="3" customFormat="false" ht="15" hidden="false" customHeight="true" outlineLevel="0" collapsed="false">
      <c r="A3" s="33"/>
      <c r="B3" s="33"/>
      <c r="C3" s="33"/>
      <c r="D3" s="33"/>
      <c r="E3" s="33"/>
      <c r="F3" s="33"/>
      <c r="G3" s="33"/>
      <c r="H3" s="33"/>
      <c r="I3" s="33"/>
      <c r="J3" s="33"/>
      <c r="K3" s="33"/>
      <c r="L3" s="33"/>
    </row>
    <row r="4" customFormat="false" ht="19.5" hidden="false" customHeight="true" outlineLevel="0" collapsed="false">
      <c r="A4" s="44" t="s">
        <v>383</v>
      </c>
      <c r="B4" s="44"/>
      <c r="C4" s="44"/>
      <c r="D4" s="44"/>
      <c r="E4" s="44"/>
      <c r="F4" s="44"/>
      <c r="G4" s="33"/>
      <c r="H4" s="33"/>
      <c r="I4" s="33"/>
      <c r="J4" s="33"/>
      <c r="K4" s="33"/>
      <c r="L4" s="33"/>
    </row>
    <row r="5" customFormat="false" ht="25.5" hidden="false" customHeight="true" outlineLevel="0" collapsed="false">
      <c r="A5" s="45" t="s">
        <v>354</v>
      </c>
      <c r="B5" s="45" t="s">
        <v>10</v>
      </c>
      <c r="C5" s="45" t="s">
        <v>257</v>
      </c>
      <c r="D5" s="45" t="s">
        <v>258</v>
      </c>
      <c r="E5" s="45" t="s">
        <v>254</v>
      </c>
      <c r="F5" s="46" t="s">
        <v>384</v>
      </c>
      <c r="G5" s="33"/>
      <c r="H5" s="33"/>
      <c r="I5" s="33"/>
      <c r="J5" s="33"/>
      <c r="K5" s="33"/>
      <c r="L5" s="33"/>
    </row>
    <row r="6" customFormat="false" ht="15" hidden="false" customHeight="true" outlineLevel="0" collapsed="false">
      <c r="A6" s="130" t="str">
        <f aca="false">'Precedent Transactions'!B6&amp;" / "&amp;'Precedent Transactions'!C6</f>
        <v>Flowserve / Velan</v>
      </c>
      <c r="B6" s="131" t="n">
        <f aca="false">'Precedent Transactions'!M6</f>
        <v>0.644736842105263</v>
      </c>
      <c r="C6" s="131" t="n">
        <f aca="false">'Precedent Transactions'!N6</f>
        <v>11.6666666666667</v>
      </c>
      <c r="D6" s="132" t="n">
        <f aca="false">'Precedent Transactions'!Q6</f>
        <v>1</v>
      </c>
      <c r="E6" s="130" t="str">
        <f aca="false">'Precedent Transactions'!I6</f>
        <v>LTM Nov-2022</v>
      </c>
      <c r="F6" s="49" t="s">
        <v>385</v>
      </c>
      <c r="G6" s="33"/>
      <c r="H6" s="33"/>
      <c r="I6" s="33"/>
      <c r="J6" s="33"/>
      <c r="K6" s="33"/>
      <c r="L6" s="33"/>
    </row>
    <row r="7" customFormat="false" ht="14.4" hidden="false" customHeight="false" outlineLevel="0" collapsed="false">
      <c r="A7" s="133" t="str">
        <f aca="false">'Precedent Transactions'!B7&amp;" / "&amp;'Precedent Transactions'!C7</f>
        <v>SLB / ChampionX</v>
      </c>
      <c r="B7" s="66" t="n">
        <f aca="false">'Precedent Transactions'!M7</f>
        <v>2.13141793030061</v>
      </c>
      <c r="C7" s="66" t="n">
        <f aca="false">'Precedent Transactions'!N7</f>
        <v>10.3887212614802</v>
      </c>
      <c r="D7" s="134" t="n">
        <f aca="false">'Precedent Transactions'!Q7</f>
        <v>0.147</v>
      </c>
      <c r="E7" s="133" t="str">
        <f aca="false">'Precedent Transactions'!I7</f>
        <v>FY2023A</v>
      </c>
      <c r="F7" s="53" t="s">
        <v>385</v>
      </c>
      <c r="G7" s="33"/>
      <c r="H7" s="33"/>
      <c r="I7" s="33"/>
      <c r="J7" s="33"/>
      <c r="K7" s="33"/>
      <c r="L7" s="33"/>
    </row>
    <row r="8" customFormat="false" ht="15" hidden="false" customHeight="true" outlineLevel="0" collapsed="false">
      <c r="A8" s="133" t="str">
        <f aca="false">'Precedent Transactions'!B8&amp;" / "&amp;'Precedent Transactions'!C8</f>
        <v>Emerson / National Instruments</v>
      </c>
      <c r="B8" s="66" t="n">
        <f aca="false">'Precedent Transactions'!M8</f>
        <v>5.22216690052656</v>
      </c>
      <c r="C8" s="66" t="n">
        <f aca="false">'Precedent Transactions'!N8</f>
        <v>30.6001923784197</v>
      </c>
      <c r="D8" s="134" t="n">
        <f aca="false">'Precedent Transactions'!Q8</f>
        <v>0.493651979088872</v>
      </c>
      <c r="E8" s="133" t="str">
        <f aca="false">'Precedent Transactions'!I8</f>
        <v>FY2022A</v>
      </c>
      <c r="F8" s="53" t="s">
        <v>385</v>
      </c>
      <c r="G8" s="33"/>
      <c r="H8" s="33"/>
      <c r="I8" s="33"/>
      <c r="J8" s="33"/>
      <c r="K8" s="33"/>
      <c r="L8" s="33"/>
    </row>
    <row r="9" customFormat="false" ht="23.85" hidden="false" customHeight="false" outlineLevel="0" collapsed="false">
      <c r="A9" s="133" t="str">
        <f aca="false">'Precedent Transactions'!B9&amp;" / "&amp;'Precedent Transactions'!C9</f>
        <v>Regal Rexnord / Altra Industrial Motion</v>
      </c>
      <c r="B9" s="66" t="n">
        <f aca="false">'Precedent Transactions'!M9</f>
        <v>2.54381006218202</v>
      </c>
      <c r="C9" s="66" t="n">
        <f aca="false">'Precedent Transactions'!N9</f>
        <v>13.5999995604041</v>
      </c>
      <c r="D9" s="134" t="n">
        <f aca="false">'Precedent Transactions'!Q9</f>
        <v>0.54000154000154</v>
      </c>
      <c r="E9" s="133" t="str">
        <f aca="false">'Precedent Transactions'!I9</f>
        <v>LTM Sep-2022</v>
      </c>
      <c r="F9" s="53" t="s">
        <v>385</v>
      </c>
      <c r="G9" s="33"/>
      <c r="H9" s="33"/>
      <c r="I9" s="33"/>
      <c r="J9" s="33"/>
      <c r="K9" s="33"/>
      <c r="L9" s="33"/>
    </row>
    <row r="10" customFormat="false" ht="15" hidden="false" customHeight="true" outlineLevel="0" collapsed="false">
      <c r="A10" s="133" t="str">
        <f aca="false">'Precedent Transactions'!B10&amp;" / "&amp;'Precedent Transactions'!C10</f>
        <v>Chart Industries / Howden</v>
      </c>
      <c r="B10" s="66" t="n">
        <f aca="false">'Precedent Transactions'!M10</f>
        <v>2.44716666666667</v>
      </c>
      <c r="C10" s="66" t="n">
        <f aca="false">'Precedent Transactions'!N10</f>
        <v>13.1489552238806</v>
      </c>
      <c r="D10" s="134" t="str">
        <f aca="false">'Precedent Transactions'!Q10</f>
        <v>Not disclosed</v>
      </c>
      <c r="E10" s="133" t="str">
        <f aca="false">'Precedent Transactions'!I10</f>
        <v>LTM Aug/Sep-2022</v>
      </c>
      <c r="F10" s="53" t="s">
        <v>385</v>
      </c>
      <c r="G10" s="33"/>
      <c r="H10" s="33"/>
      <c r="I10" s="33"/>
      <c r="J10" s="33"/>
      <c r="K10" s="33"/>
      <c r="L10" s="33"/>
    </row>
    <row r="11" customFormat="false" ht="15" hidden="false" customHeight="true" outlineLevel="0" collapsed="false">
      <c r="A11" s="133" t="str">
        <f aca="false">'Precedent Transactions'!B11&amp;" / "&amp;'Precedent Transactions'!C11</f>
        <v>Siemens / Dresser-Rand</v>
      </c>
      <c r="B11" s="66" t="n">
        <f aca="false">'Precedent Transactions'!M11</f>
        <v>2.57960280905169</v>
      </c>
      <c r="C11" s="66" t="n">
        <f aca="false">'Precedent Transactions'!N11</f>
        <v>10.9617492644089</v>
      </c>
      <c r="D11" s="134" t="str">
        <f aca="false">'Precedent Transactions'!Q11</f>
        <v>Not disclosed</v>
      </c>
      <c r="E11" s="133" t="str">
        <f aca="false">'Precedent Transactions'!I11</f>
        <v>FY2013A</v>
      </c>
      <c r="F11" s="53" t="s">
        <v>385</v>
      </c>
      <c r="G11" s="33"/>
      <c r="H11" s="33"/>
      <c r="I11" s="33"/>
      <c r="J11" s="33"/>
      <c r="K11" s="33"/>
      <c r="L11" s="33"/>
    </row>
    <row r="12" customFormat="false" ht="15" hidden="false" customHeight="true" outlineLevel="0" collapsed="false">
      <c r="A12" s="133" t="str">
        <f aca="false">'Precedent Transactions'!B12&amp;" / "&amp;'Precedent Transactions'!C12</f>
        <v>KKR / Gardner Denver</v>
      </c>
      <c r="B12" s="66" t="n">
        <f aca="false">'Precedent Transactions'!M12</f>
        <v>1.65254237288136</v>
      </c>
      <c r="C12" s="66" t="n">
        <f aca="false">'Precedent Transactions'!N12</f>
        <v>8.30000031923078</v>
      </c>
      <c r="D12" s="134" t="n">
        <f aca="false">'Precedent Transactions'!Q12</f>
        <v>0.388127853881278</v>
      </c>
      <c r="E12" s="133" t="str">
        <f aca="false">'Precedent Transactions'!I12</f>
        <v>FY2012A</v>
      </c>
      <c r="F12" s="53" t="s">
        <v>385</v>
      </c>
      <c r="G12" s="33"/>
      <c r="H12" s="33"/>
      <c r="I12" s="33"/>
      <c r="J12" s="33"/>
      <c r="K12" s="33"/>
      <c r="L12" s="33"/>
    </row>
    <row r="13" customFormat="false" ht="15" hidden="false" customHeight="true" outlineLevel="0" collapsed="false">
      <c r="A13" s="133" t="str">
        <f aca="false">'Precedent Transactions'!B13&amp;" / "&amp;'Precedent Transactions'!C13</f>
        <v>Caterpillar / Bucyrus</v>
      </c>
      <c r="B13" s="66" t="n">
        <f aca="false">'Precedent Transactions'!M13</f>
        <v>2.35826638247306</v>
      </c>
      <c r="C13" s="66" t="n">
        <f aca="false">'Precedent Transactions'!N13</f>
        <v>11.9462094478989</v>
      </c>
      <c r="D13" s="134" t="n">
        <f aca="false">'Precedent Transactions'!Q13</f>
        <v>0.319999426087206</v>
      </c>
      <c r="E13" s="133" t="str">
        <f aca="false">'Precedent Transactions'!I13</f>
        <v>FY2010A</v>
      </c>
      <c r="F13" s="53" t="s">
        <v>385</v>
      </c>
      <c r="G13" s="33"/>
      <c r="H13" s="33"/>
      <c r="I13" s="33"/>
      <c r="J13" s="33"/>
      <c r="K13" s="33"/>
      <c r="L13" s="33"/>
    </row>
    <row r="14" customFormat="false" ht="15" hidden="false" customHeight="true" outlineLevel="0" collapsed="false">
      <c r="A14" s="33"/>
      <c r="B14" s="33"/>
      <c r="C14" s="33"/>
      <c r="D14" s="33"/>
      <c r="E14" s="33"/>
      <c r="F14" s="33"/>
      <c r="G14" s="33"/>
      <c r="H14" s="33"/>
      <c r="I14" s="33"/>
      <c r="J14" s="33"/>
      <c r="K14" s="33"/>
      <c r="L14" s="33"/>
    </row>
    <row r="15" customFormat="false" ht="15" hidden="false" customHeight="true" outlineLevel="0" collapsed="false">
      <c r="A15" s="33"/>
      <c r="B15" s="33"/>
      <c r="C15" s="33"/>
      <c r="D15" s="33"/>
      <c r="E15" s="33"/>
      <c r="F15" s="33"/>
      <c r="G15" s="33"/>
      <c r="H15" s="33"/>
      <c r="I15" s="33"/>
      <c r="J15" s="33"/>
      <c r="K15" s="33"/>
      <c r="L15" s="33"/>
    </row>
    <row r="16" customFormat="false" ht="20" hidden="false" customHeight="true" outlineLevel="0" collapsed="false">
      <c r="A16" s="44" t="s">
        <v>386</v>
      </c>
      <c r="B16" s="44"/>
      <c r="C16" s="44"/>
      <c r="D16" s="33"/>
      <c r="E16" s="33"/>
      <c r="F16" s="33"/>
      <c r="G16" s="44" t="s">
        <v>387</v>
      </c>
      <c r="H16" s="44"/>
      <c r="I16" s="44"/>
      <c r="J16" s="44"/>
      <c r="K16" s="44"/>
      <c r="L16" s="44"/>
    </row>
    <row r="17" customFormat="false" ht="25.5" hidden="false" customHeight="true" outlineLevel="0" collapsed="false">
      <c r="A17" s="45" t="s">
        <v>354</v>
      </c>
      <c r="B17" s="45" t="s">
        <v>258</v>
      </c>
      <c r="C17" s="46" t="s">
        <v>388</v>
      </c>
      <c r="D17" s="33"/>
      <c r="E17" s="33"/>
      <c r="F17" s="33"/>
      <c r="G17" s="20" t="s">
        <v>49</v>
      </c>
      <c r="H17" s="20" t="s">
        <v>389</v>
      </c>
      <c r="I17" s="20" t="s">
        <v>390</v>
      </c>
      <c r="J17" s="20" t="s">
        <v>34</v>
      </c>
      <c r="K17" s="20" t="s">
        <v>391</v>
      </c>
      <c r="L17" s="20" t="s">
        <v>392</v>
      </c>
    </row>
    <row r="18" customFormat="false" ht="23.85" hidden="false" customHeight="false" outlineLevel="0" collapsed="false">
      <c r="A18" s="48" t="s">
        <v>363</v>
      </c>
      <c r="B18" s="132" t="n">
        <f aca="false">'Precedent Transactions'!Q6</f>
        <v>1</v>
      </c>
      <c r="C18" s="49" t="s">
        <v>393</v>
      </c>
      <c r="D18" s="33"/>
      <c r="E18" s="33"/>
      <c r="F18" s="33"/>
      <c r="G18" s="48" t="s">
        <v>10</v>
      </c>
      <c r="H18" s="135" t="n">
        <f aca="false">$B$28</f>
        <v>0.644736842105263</v>
      </c>
      <c r="I18" s="135" t="n">
        <f aca="false">$B$29</f>
        <v>2.0116990409458</v>
      </c>
      <c r="J18" s="136" t="n">
        <f aca="false">$B$30</f>
        <v>2.40271652456986</v>
      </c>
      <c r="K18" s="135" t="n">
        <f aca="false">$B$31</f>
        <v>2.55275824889944</v>
      </c>
      <c r="L18" s="135" t="n">
        <f aca="false">$B$32</f>
        <v>5.22216690052656</v>
      </c>
    </row>
    <row r="19" customFormat="false" ht="23.85" hidden="false" customHeight="false" outlineLevel="0" collapsed="false">
      <c r="A19" s="52" t="s">
        <v>365</v>
      </c>
      <c r="B19" s="134" t="n">
        <f aca="false">'Precedent Transactions'!Q7</f>
        <v>0.147</v>
      </c>
      <c r="C19" s="53" t="s">
        <v>393</v>
      </c>
      <c r="D19" s="33"/>
      <c r="E19" s="33"/>
      <c r="F19" s="33"/>
      <c r="G19" s="52" t="s">
        <v>257</v>
      </c>
      <c r="H19" s="137" t="n">
        <f aca="false">$C$28</f>
        <v>8.30000031923078</v>
      </c>
      <c r="I19" s="137" t="n">
        <f aca="false">$C$29</f>
        <v>10.8184922636767</v>
      </c>
      <c r="J19" s="138" t="n">
        <f aca="false">$C$30</f>
        <v>11.8064380572828</v>
      </c>
      <c r="K19" s="137" t="n">
        <f aca="false">$C$31</f>
        <v>13.2617163080115</v>
      </c>
      <c r="L19" s="137" t="n">
        <f aca="false">$C$32</f>
        <v>30.6001923784197</v>
      </c>
    </row>
    <row r="20" customFormat="false" ht="23.85" hidden="false" customHeight="false" outlineLevel="0" collapsed="false">
      <c r="A20" s="52" t="s">
        <v>367</v>
      </c>
      <c r="B20" s="134" t="n">
        <f aca="false">'Precedent Transactions'!Q8</f>
        <v>0.493651979088872</v>
      </c>
      <c r="C20" s="53" t="s">
        <v>393</v>
      </c>
      <c r="D20" s="33"/>
      <c r="E20" s="33"/>
      <c r="F20" s="33"/>
      <c r="G20" s="33"/>
      <c r="H20" s="33"/>
      <c r="I20" s="33"/>
      <c r="J20" s="33"/>
      <c r="K20" s="33"/>
      <c r="L20" s="33"/>
    </row>
    <row r="21" customFormat="false" ht="23.85" hidden="false" customHeight="true" outlineLevel="0" collapsed="false">
      <c r="A21" s="52" t="s">
        <v>369</v>
      </c>
      <c r="B21" s="134" t="n">
        <f aca="false">'Precedent Transactions'!Q9</f>
        <v>0.54000154000154</v>
      </c>
      <c r="C21" s="53" t="s">
        <v>393</v>
      </c>
      <c r="D21" s="33"/>
      <c r="E21" s="33"/>
      <c r="F21" s="33"/>
      <c r="G21" s="44" t="s">
        <v>394</v>
      </c>
      <c r="H21" s="44"/>
      <c r="I21" s="44"/>
      <c r="J21" s="44"/>
      <c r="K21" s="44"/>
      <c r="L21" s="44"/>
    </row>
    <row r="22" customFormat="false" ht="23.85" hidden="false" customHeight="true" outlineLevel="0" collapsed="false">
      <c r="A22" s="52" t="s">
        <v>375</v>
      </c>
      <c r="B22" s="134" t="n">
        <f aca="false">'Precedent Transactions'!Q12</f>
        <v>0.388127853881278</v>
      </c>
      <c r="C22" s="53" t="s">
        <v>393</v>
      </c>
      <c r="D22" s="33"/>
      <c r="E22" s="33"/>
      <c r="F22" s="33"/>
      <c r="G22" s="20" t="s">
        <v>49</v>
      </c>
      <c r="H22" s="20" t="s">
        <v>395</v>
      </c>
      <c r="I22" s="20" t="s">
        <v>396</v>
      </c>
      <c r="J22" s="20" t="s">
        <v>168</v>
      </c>
      <c r="K22" s="20"/>
      <c r="L22" s="20"/>
    </row>
    <row r="23" customFormat="false" ht="30" hidden="false" customHeight="true" outlineLevel="0" collapsed="false">
      <c r="A23" s="52" t="s">
        <v>377</v>
      </c>
      <c r="B23" s="134" t="n">
        <f aca="false">'Precedent Transactions'!Q13</f>
        <v>0.319999426087206</v>
      </c>
      <c r="C23" s="53" t="s">
        <v>393</v>
      </c>
      <c r="D23" s="33"/>
      <c r="E23" s="33"/>
      <c r="F23" s="33"/>
      <c r="G23" s="110" t="s">
        <v>10</v>
      </c>
      <c r="H23" s="136" t="n">
        <f aca="false">$B$30</f>
        <v>2.40271652456986</v>
      </c>
      <c r="I23" s="110" t="s">
        <v>34</v>
      </c>
      <c r="J23" s="110" t="s">
        <v>397</v>
      </c>
      <c r="K23" s="110"/>
      <c r="L23" s="110"/>
    </row>
    <row r="24" customFormat="false" ht="30" hidden="false" customHeight="true" outlineLevel="0" collapsed="false">
      <c r="A24" s="33"/>
      <c r="B24" s="33"/>
      <c r="C24" s="33"/>
      <c r="D24" s="33"/>
      <c r="E24" s="33"/>
      <c r="F24" s="33"/>
      <c r="G24" s="113" t="s">
        <v>257</v>
      </c>
      <c r="H24" s="138" t="n">
        <f aca="false">$C$30</f>
        <v>11.8064380572828</v>
      </c>
      <c r="I24" s="113" t="s">
        <v>34</v>
      </c>
      <c r="J24" s="113" t="s">
        <v>398</v>
      </c>
      <c r="K24" s="113"/>
      <c r="L24" s="113"/>
    </row>
    <row r="25" customFormat="false" ht="15" hidden="false" customHeight="true" outlineLevel="0" collapsed="false">
      <c r="A25" s="33"/>
      <c r="B25" s="33"/>
      <c r="C25" s="33"/>
      <c r="D25" s="33"/>
      <c r="E25" s="33"/>
      <c r="F25" s="33"/>
      <c r="G25" s="33"/>
      <c r="H25" s="33"/>
      <c r="I25" s="33"/>
      <c r="J25" s="33"/>
      <c r="K25" s="33"/>
      <c r="L25" s="33"/>
    </row>
    <row r="26" customFormat="false" ht="19.5" hidden="false" customHeight="true" outlineLevel="0" collapsed="false">
      <c r="A26" s="44" t="s">
        <v>399</v>
      </c>
      <c r="B26" s="44"/>
      <c r="C26" s="44"/>
      <c r="D26" s="44"/>
      <c r="E26" s="33"/>
      <c r="F26" s="33"/>
      <c r="G26" s="63" t="s">
        <v>400</v>
      </c>
      <c r="H26" s="63"/>
      <c r="I26" s="63"/>
      <c r="J26" s="63"/>
      <c r="K26" s="63"/>
      <c r="L26" s="63"/>
    </row>
    <row r="27" customFormat="false" ht="25.5" hidden="false" customHeight="true" outlineLevel="0" collapsed="false">
      <c r="A27" s="45" t="s">
        <v>401</v>
      </c>
      <c r="B27" s="45" t="s">
        <v>10</v>
      </c>
      <c r="C27" s="45" t="s">
        <v>257</v>
      </c>
      <c r="D27" s="46" t="s">
        <v>258</v>
      </c>
      <c r="E27" s="33"/>
      <c r="F27" s="33"/>
      <c r="G27" s="63"/>
      <c r="H27" s="63"/>
      <c r="I27" s="63"/>
      <c r="J27" s="63"/>
      <c r="K27" s="63"/>
      <c r="L27" s="63"/>
    </row>
    <row r="28" customFormat="false" ht="15" hidden="false" customHeight="true" outlineLevel="0" collapsed="false">
      <c r="A28" s="48" t="s">
        <v>389</v>
      </c>
      <c r="B28" s="139" t="n">
        <f aca="false">MIN(B6:B13)</f>
        <v>0.644736842105263</v>
      </c>
      <c r="C28" s="139" t="n">
        <f aca="false">MIN(C6:C13)</f>
        <v>8.30000031923078</v>
      </c>
      <c r="D28" s="140" t="n">
        <f aca="false">MIN(B18:B23)</f>
        <v>0.147</v>
      </c>
      <c r="E28" s="33"/>
      <c r="F28" s="33"/>
      <c r="G28" s="63"/>
      <c r="H28" s="63"/>
      <c r="I28" s="63"/>
      <c r="J28" s="63"/>
      <c r="K28" s="63"/>
      <c r="L28" s="63"/>
    </row>
    <row r="29" customFormat="false" ht="25" hidden="false" customHeight="true" outlineLevel="0" collapsed="false">
      <c r="A29" s="52" t="s">
        <v>402</v>
      </c>
      <c r="B29" s="141" t="n">
        <f aca="false">_xlfn.PERCENTILE.INC(B6:B13,0.25)</f>
        <v>2.0116990409458</v>
      </c>
      <c r="C29" s="141" t="n">
        <f aca="false">_xlfn.PERCENTILE.INC(C6:C13,0.25)</f>
        <v>10.8184922636767</v>
      </c>
      <c r="D29" s="142" t="n">
        <f aca="false">_xlfn.PERCENTILE.INC(B18:B23,0.25)</f>
        <v>0.33703153303572</v>
      </c>
      <c r="E29" s="33"/>
      <c r="F29" s="33"/>
      <c r="G29" s="4" t="s">
        <v>403</v>
      </c>
      <c r="H29" s="4"/>
      <c r="I29" s="4"/>
      <c r="J29" s="4"/>
      <c r="K29" s="33"/>
      <c r="L29" s="33"/>
    </row>
    <row r="30" customFormat="false" ht="25" hidden="false" customHeight="true" outlineLevel="0" collapsed="false">
      <c r="A30" s="113" t="s">
        <v>34</v>
      </c>
      <c r="B30" s="143" t="n">
        <f aca="false">MEDIAN(B6:B13)</f>
        <v>2.40271652456986</v>
      </c>
      <c r="C30" s="143" t="n">
        <f aca="false">MEDIAN(C6:C13)</f>
        <v>11.8064380572828</v>
      </c>
      <c r="D30" s="144" t="n">
        <f aca="false">MEDIAN(B18:B23)</f>
        <v>0.440889916485075</v>
      </c>
      <c r="E30" s="33"/>
      <c r="F30" s="33"/>
      <c r="G30" s="145" t="s">
        <v>49</v>
      </c>
      <c r="H30" s="145" t="s">
        <v>404</v>
      </c>
      <c r="I30" s="145" t="s">
        <v>405</v>
      </c>
      <c r="J30" s="145" t="s">
        <v>406</v>
      </c>
      <c r="K30" s="33"/>
      <c r="L30" s="33"/>
    </row>
    <row r="31" customFormat="false" ht="25" hidden="false" customHeight="true" outlineLevel="0" collapsed="false">
      <c r="A31" s="113" t="s">
        <v>407</v>
      </c>
      <c r="B31" s="143" t="n">
        <f aca="false">_xlfn.PERCENTILE.INC(B6:B13,0.75)</f>
        <v>2.55275824889944</v>
      </c>
      <c r="C31" s="143" t="n">
        <f aca="false">_xlfn.PERCENTILE.INC(C6:C13,0.75)</f>
        <v>13.2617163080115</v>
      </c>
      <c r="D31" s="144" t="n">
        <f aca="false">_xlfn.PERCENTILE.INC(B18:B23,0.75)</f>
        <v>0.52841414977337</v>
      </c>
      <c r="E31" s="33"/>
      <c r="F31" s="33"/>
      <c r="G31" s="33" t="s">
        <v>16</v>
      </c>
      <c r="H31" s="146" t="n">
        <f aca="false">B30</f>
        <v>2.40271652456986</v>
      </c>
      <c r="I31" s="146" t="n">
        <f aca="false">MEDIAN(B6:B7,B9:B13)</f>
        <v>2.35826638247306</v>
      </c>
      <c r="J31" s="146" t="n">
        <f aca="false">MEDIAN(B6:B10)</f>
        <v>2.44716666666667</v>
      </c>
      <c r="K31" s="33"/>
      <c r="L31" s="33"/>
    </row>
    <row r="32" customFormat="false" ht="25" hidden="false" customHeight="true" outlineLevel="0" collapsed="false">
      <c r="A32" s="52" t="s">
        <v>392</v>
      </c>
      <c r="B32" s="141" t="n">
        <f aca="false">MAX(B6:B13)</f>
        <v>5.22216690052656</v>
      </c>
      <c r="C32" s="141" t="n">
        <f aca="false">MAX(C6:C13)</f>
        <v>30.6001923784197</v>
      </c>
      <c r="D32" s="142" t="n">
        <f aca="false">MAX(B18:B23)</f>
        <v>1</v>
      </c>
      <c r="E32" s="33"/>
      <c r="F32" s="33"/>
      <c r="G32" s="33" t="s">
        <v>20</v>
      </c>
      <c r="H32" s="146" t="n">
        <f aca="false">C30</f>
        <v>11.8064380572828</v>
      </c>
      <c r="I32" s="146" t="n">
        <f aca="false">MEDIAN(C6:C7,C9:C13)</f>
        <v>11.6666666666667</v>
      </c>
      <c r="J32" s="146" t="n">
        <f aca="false">MEDIAN(C6:C10)</f>
        <v>13.1489552238806</v>
      </c>
      <c r="K32" s="33"/>
      <c r="L32" s="33"/>
    </row>
    <row r="33" customFormat="false" ht="25" hidden="false" customHeight="true" outlineLevel="0" collapsed="false">
      <c r="A33" s="76" t="s">
        <v>408</v>
      </c>
      <c r="B33" s="147" t="n">
        <f aca="false">AVERAGE(B6:B13)</f>
        <v>2.4474637457734</v>
      </c>
      <c r="C33" s="147" t="n">
        <f aca="false">AVERAGE(C6:C13)</f>
        <v>13.8265617652987</v>
      </c>
      <c r="D33" s="148" t="n">
        <f aca="false">AVERAGE(B18:B23)</f>
        <v>0.481463466509816</v>
      </c>
      <c r="E33" s="33"/>
      <c r="F33" s="33"/>
      <c r="G33" s="33" t="s">
        <v>409</v>
      </c>
      <c r="H33" s="146" t="n">
        <f aca="false">C33</f>
        <v>13.8265617652987</v>
      </c>
      <c r="I33" s="146" t="n">
        <f aca="false">AVERAGE(C6:C7,C9:C13)</f>
        <v>11.4303288205672</v>
      </c>
      <c r="J33" s="146" t="n">
        <f aca="false">AVERAGE(C6:C10)</f>
        <v>15.8809070181702</v>
      </c>
      <c r="K33" s="33"/>
      <c r="L33" s="33"/>
    </row>
    <row r="34" customFormat="false" ht="25" hidden="false" customHeight="true" outlineLevel="0" collapsed="false">
      <c r="A34" s="33"/>
      <c r="B34" s="33"/>
      <c r="C34" s="33"/>
      <c r="D34" s="33"/>
      <c r="E34" s="33"/>
      <c r="F34" s="33"/>
      <c r="G34" s="149" t="s">
        <v>410</v>
      </c>
      <c r="H34" s="150" t="n">
        <f aca="false">COUNT(C6:C13)</f>
        <v>8</v>
      </c>
      <c r="I34" s="150" t="n">
        <f aca="false">COUNT(C6:C7,C9:C13)</f>
        <v>7</v>
      </c>
      <c r="J34" s="150" t="n">
        <f aca="false">COUNT(C6:C10)</f>
        <v>5</v>
      </c>
      <c r="K34" s="33"/>
      <c r="L34" s="33"/>
    </row>
    <row r="35" customFormat="false" ht="15" hidden="false" customHeight="true" outlineLevel="0" collapsed="false">
      <c r="A35" s="33"/>
      <c r="B35" s="33"/>
      <c r="C35" s="33"/>
      <c r="D35" s="33"/>
      <c r="E35" s="33"/>
      <c r="F35" s="33"/>
      <c r="G35" s="33"/>
      <c r="H35" s="33"/>
      <c r="I35" s="33"/>
      <c r="J35" s="33"/>
      <c r="K35" s="33"/>
      <c r="L35" s="33"/>
    </row>
    <row r="36" customFormat="false" ht="15" hidden="false" customHeight="true" outlineLevel="0" collapsed="false">
      <c r="A36" s="63" t="s">
        <v>411</v>
      </c>
      <c r="B36" s="63"/>
      <c r="C36" s="63"/>
      <c r="D36" s="63"/>
      <c r="E36" s="63"/>
      <c r="F36" s="63"/>
      <c r="G36" s="33"/>
      <c r="H36" s="33"/>
      <c r="I36" s="33"/>
      <c r="J36" s="33"/>
      <c r="K36" s="33"/>
      <c r="L36" s="33"/>
    </row>
    <row r="37" customFormat="false" ht="15" hidden="false" customHeight="true" outlineLevel="0" collapsed="false">
      <c r="A37" s="63"/>
      <c r="B37" s="63"/>
      <c r="C37" s="63"/>
      <c r="D37" s="63"/>
      <c r="E37" s="63"/>
      <c r="F37" s="63"/>
      <c r="G37" s="33"/>
      <c r="H37" s="33"/>
      <c r="I37" s="33"/>
      <c r="J37" s="33"/>
      <c r="K37" s="33"/>
      <c r="L37" s="33"/>
    </row>
    <row r="38" customFormat="false" ht="15" hidden="false" customHeight="true" outlineLevel="0" collapsed="false">
      <c r="A38" s="63"/>
      <c r="B38" s="63"/>
      <c r="C38" s="63"/>
      <c r="D38" s="63"/>
      <c r="E38" s="63"/>
      <c r="F38" s="63"/>
      <c r="G38" s="33"/>
      <c r="H38" s="33"/>
      <c r="I38" s="33"/>
      <c r="J38" s="33"/>
      <c r="K38" s="33"/>
      <c r="L38" s="33"/>
    </row>
    <row r="39" customFormat="false" ht="30" hidden="false" customHeight="true" outlineLevel="0" collapsed="false">
      <c r="A39" s="63" t="str">
        <f aca="false">"Emerson / National Instruments uses standardized EBITDA (EBIT + D&amp;A) and produces "&amp;TEXT(C8,"0.0x")&amp;", versus a full-set median of "&amp;TEXT(C30,"0.0x")&amp;" and an ex-NI median of "&amp;TEXT(I32,"0.0x")&amp;". It is retained in the raw set but does not set the percentile-based football-field range."</f>
        <v>Emerson / National Instruments uses standardized EBITDA (EBIT + D&amp;A) and produces 30.6x, versus a full-set median of 11.8x and an ex-NI median of 11.7x. It is retained in the raw set but does not set the percentile-based football-field range.</v>
      </c>
      <c r="B39" s="63"/>
      <c r="C39" s="63"/>
      <c r="D39" s="63"/>
      <c r="E39" s="63"/>
      <c r="F39" s="63"/>
      <c r="G39" s="151"/>
      <c r="H39" s="151"/>
      <c r="I39" s="151"/>
      <c r="J39" s="151"/>
      <c r="K39" s="151"/>
      <c r="L39" s="151"/>
    </row>
  </sheetData>
  <mergeCells count="13">
    <mergeCell ref="A1:L1"/>
    <mergeCell ref="A2:L2"/>
    <mergeCell ref="A4:F4"/>
    <mergeCell ref="A16:C16"/>
    <mergeCell ref="G16:L16"/>
    <mergeCell ref="G21:L21"/>
    <mergeCell ref="J22:L22"/>
    <mergeCell ref="J23:L23"/>
    <mergeCell ref="J24:L24"/>
    <mergeCell ref="A26:D26"/>
    <mergeCell ref="G26:L28"/>
    <mergeCell ref="A36:F38"/>
    <mergeCell ref="A39:F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0390625" defaultRowHeight="14.4" customHeight="false" zeroHeight="false" outlineLevelRow="0" outlineLevelCol="0"/>
  <cols>
    <col collapsed="false" customWidth="true" hidden="false" outlineLevel="0" max="1" min="1" style="0" width="26"/>
    <col collapsed="false" customWidth="true" hidden="false" outlineLevel="0" max="3" min="2" style="0" width="16"/>
    <col collapsed="false" customWidth="true" hidden="false" outlineLevel="0" max="4" min="4" style="0" width="14"/>
    <col collapsed="false" customWidth="true" hidden="false" outlineLevel="0" max="5" min="5" style="0" width="30"/>
    <col collapsed="false" customWidth="true" hidden="false" outlineLevel="0" max="6" min="6" style="0" width="34"/>
    <col collapsed="false" customWidth="true" hidden="false" outlineLevel="0" max="7" min="7" style="0" width="15"/>
    <col collapsed="false" customWidth="true" hidden="false" outlineLevel="0" max="11" min="8" style="0" width="14"/>
  </cols>
  <sheetData>
    <row r="1" customFormat="false" ht="25.5" hidden="false" customHeight="true" outlineLevel="0" collapsed="false">
      <c r="A1" s="1" t="s">
        <v>412</v>
      </c>
      <c r="B1" s="1"/>
      <c r="C1" s="1"/>
      <c r="D1" s="1"/>
      <c r="E1" s="1"/>
      <c r="F1" s="3"/>
      <c r="G1" s="3"/>
      <c r="H1" s="3"/>
      <c r="I1" s="3"/>
      <c r="J1" s="3"/>
      <c r="K1" s="3"/>
    </row>
    <row r="2" customFormat="false" ht="18" hidden="false" customHeight="true" outlineLevel="0" collapsed="false">
      <c r="A2" s="2" t="s">
        <v>413</v>
      </c>
      <c r="B2" s="2"/>
      <c r="C2" s="2"/>
      <c r="D2" s="2"/>
      <c r="E2" s="2"/>
      <c r="F2" s="3"/>
      <c r="G2" s="3"/>
      <c r="H2" s="3"/>
      <c r="I2" s="3"/>
      <c r="J2" s="3"/>
      <c r="K2" s="3"/>
    </row>
    <row r="3" customFormat="false" ht="14.4" hidden="false" customHeight="false" outlineLevel="0" collapsed="false">
      <c r="A3" s="3"/>
      <c r="B3" s="3"/>
      <c r="C3" s="3"/>
      <c r="D3" s="3"/>
      <c r="E3" s="3"/>
      <c r="F3" s="3"/>
      <c r="G3" s="3"/>
      <c r="H3" s="3"/>
      <c r="I3" s="3"/>
      <c r="J3" s="3"/>
      <c r="K3" s="3"/>
    </row>
    <row r="4" customFormat="false" ht="19.5" hidden="false" customHeight="true" outlineLevel="0" collapsed="false">
      <c r="A4" s="4" t="s">
        <v>414</v>
      </c>
      <c r="B4" s="4"/>
      <c r="C4" s="4"/>
      <c r="D4" s="4"/>
      <c r="E4" s="4"/>
      <c r="F4" s="20" t="s">
        <v>354</v>
      </c>
      <c r="G4" s="20" t="s">
        <v>415</v>
      </c>
      <c r="H4" s="3"/>
      <c r="I4" s="3"/>
      <c r="J4" s="3"/>
      <c r="K4" s="3"/>
    </row>
    <row r="5" customFormat="false" ht="24" hidden="false" customHeight="true" outlineLevel="0" collapsed="false">
      <c r="A5" s="32" t="s">
        <v>49</v>
      </c>
      <c r="B5" s="32" t="s">
        <v>4</v>
      </c>
      <c r="C5" s="32" t="s">
        <v>167</v>
      </c>
      <c r="D5" s="3"/>
      <c r="E5" s="3"/>
      <c r="F5" s="11" t="s">
        <v>416</v>
      </c>
      <c r="G5" s="152" t="n">
        <f aca="false">$B$8*100</f>
        <v>22.3419749490242</v>
      </c>
      <c r="H5" s="3"/>
      <c r="I5" s="3"/>
      <c r="J5" s="3"/>
      <c r="K5" s="3"/>
    </row>
    <row r="6" customFormat="false" ht="14.4" hidden="false" customHeight="false" outlineLevel="0" collapsed="false">
      <c r="A6" s="33" t="s">
        <v>15</v>
      </c>
      <c r="B6" s="37" t="n">
        <f aca="false">'Transaction Overview'!B10</f>
        <v>210</v>
      </c>
      <c r="C6" s="33" t="s">
        <v>60</v>
      </c>
      <c r="D6" s="3"/>
      <c r="E6" s="3"/>
      <c r="F6" s="14" t="s">
        <v>363</v>
      </c>
      <c r="G6" s="153" t="n">
        <f aca="false">$D12*100</f>
        <v>100</v>
      </c>
      <c r="H6" s="3"/>
      <c r="I6" s="3"/>
      <c r="J6" s="3"/>
      <c r="K6" s="3"/>
    </row>
    <row r="7" customFormat="false" ht="14.4" hidden="false" customHeight="false" outlineLevel="0" collapsed="false">
      <c r="A7" s="33" t="s">
        <v>19</v>
      </c>
      <c r="B7" s="37" t="n">
        <f aca="false">'Transaction Overview'!B11</f>
        <v>171.65</v>
      </c>
      <c r="C7" s="33" t="s">
        <v>178</v>
      </c>
      <c r="D7" s="3"/>
      <c r="E7" s="3"/>
      <c r="F7" s="14" t="s">
        <v>365</v>
      </c>
      <c r="G7" s="153" t="n">
        <f aca="false">$D13*100</f>
        <v>14.7</v>
      </c>
      <c r="H7" s="3"/>
      <c r="I7" s="3"/>
      <c r="J7" s="3"/>
      <c r="K7" s="3"/>
    </row>
    <row r="8" customFormat="false" ht="23.85" hidden="false" customHeight="false" outlineLevel="0" collapsed="false">
      <c r="A8" s="35" t="s">
        <v>417</v>
      </c>
      <c r="B8" s="154" t="n">
        <f aca="false">'Transaction Overview'!B12</f>
        <v>0.223419749490242</v>
      </c>
      <c r="C8" s="33" t="s">
        <v>76</v>
      </c>
      <c r="D8" s="3"/>
      <c r="E8" s="3"/>
      <c r="F8" s="14" t="s">
        <v>367</v>
      </c>
      <c r="G8" s="153" t="n">
        <f aca="false">$D14*100</f>
        <v>49.3651979088872</v>
      </c>
      <c r="H8" s="3"/>
      <c r="I8" s="3"/>
      <c r="J8" s="3"/>
      <c r="K8" s="3"/>
    </row>
    <row r="9" customFormat="false" ht="14.4" hidden="false" customHeight="false" outlineLevel="0" collapsed="false">
      <c r="A9" s="3"/>
      <c r="B9" s="3"/>
      <c r="C9" s="3"/>
      <c r="D9" s="3"/>
      <c r="E9" s="3"/>
      <c r="F9" s="14" t="s">
        <v>369</v>
      </c>
      <c r="G9" s="153" t="n">
        <f aca="false">$D15*100</f>
        <v>54.000154000154</v>
      </c>
      <c r="H9" s="3"/>
      <c r="I9" s="3"/>
      <c r="J9" s="3"/>
      <c r="K9" s="3"/>
    </row>
    <row r="10" customFormat="false" ht="19.5" hidden="false" customHeight="true" outlineLevel="0" collapsed="false">
      <c r="A10" s="4" t="s">
        <v>418</v>
      </c>
      <c r="B10" s="4"/>
      <c r="C10" s="4"/>
      <c r="D10" s="4"/>
      <c r="E10" s="4"/>
      <c r="F10" s="14" t="s">
        <v>375</v>
      </c>
      <c r="G10" s="153" t="n">
        <f aca="false">$D16*100</f>
        <v>38.8127853881279</v>
      </c>
      <c r="H10" s="3"/>
      <c r="I10" s="3"/>
      <c r="J10" s="3"/>
      <c r="K10" s="3"/>
    </row>
    <row r="11" customFormat="false" ht="24" hidden="false" customHeight="true" outlineLevel="0" collapsed="false">
      <c r="A11" s="32" t="s">
        <v>354</v>
      </c>
      <c r="B11" s="32" t="s">
        <v>27</v>
      </c>
      <c r="C11" s="32" t="s">
        <v>21</v>
      </c>
      <c r="D11" s="32" t="s">
        <v>258</v>
      </c>
      <c r="E11" s="3"/>
      <c r="F11" s="14" t="s">
        <v>377</v>
      </c>
      <c r="G11" s="153" t="n">
        <f aca="false">$D17*100</f>
        <v>31.9999426087206</v>
      </c>
      <c r="H11" s="3"/>
      <c r="I11" s="3"/>
      <c r="J11" s="3"/>
      <c r="K11" s="3"/>
    </row>
    <row r="12" customFormat="false" ht="14.4" hidden="false" customHeight="false" outlineLevel="0" collapsed="false">
      <c r="A12" s="33" t="s">
        <v>363</v>
      </c>
      <c r="B12" s="34" t="n">
        <f aca="false">'Precedent Transactions'!O6</f>
        <v>13</v>
      </c>
      <c r="C12" s="34" t="n">
        <f aca="false">'Precedent Transactions'!P6</f>
        <v>6.5</v>
      </c>
      <c r="D12" s="41" t="n">
        <f aca="false">'Precedent Transactions'!Q6</f>
        <v>1</v>
      </c>
      <c r="E12" s="3"/>
      <c r="F12" s="3"/>
      <c r="G12" s="3"/>
      <c r="H12" s="3"/>
      <c r="I12" s="3"/>
      <c r="J12" s="3"/>
      <c r="K12" s="3"/>
    </row>
    <row r="13" customFormat="false" ht="14.4" hidden="false" customHeight="false" outlineLevel="0" collapsed="false">
      <c r="A13" s="33" t="s">
        <v>365</v>
      </c>
      <c r="B13" s="34" t="str">
        <f aca="false">'Precedent Transactions'!O7</f>
        <v>Not disclosed</v>
      </c>
      <c r="C13" s="34" t="str">
        <f aca="false">'Precedent Transactions'!P7</f>
        <v>Not disclosed</v>
      </c>
      <c r="D13" s="41" t="n">
        <f aca="false">'Precedent Transactions'!Q7</f>
        <v>0.147</v>
      </c>
      <c r="E13" s="3"/>
      <c r="F13" s="3"/>
      <c r="G13" s="3"/>
      <c r="H13" s="3"/>
      <c r="I13" s="3"/>
      <c r="J13" s="3"/>
      <c r="K13" s="3"/>
    </row>
    <row r="14" customFormat="false" ht="14.4" hidden="false" customHeight="false" outlineLevel="0" collapsed="false">
      <c r="A14" s="33" t="s">
        <v>367</v>
      </c>
      <c r="B14" s="34" t="n">
        <f aca="false">'Precedent Transactions'!O8</f>
        <v>60</v>
      </c>
      <c r="C14" s="34" t="n">
        <f aca="false">'Precedent Transactions'!P8</f>
        <v>40.17</v>
      </c>
      <c r="D14" s="41" t="n">
        <f aca="false">'Precedent Transactions'!Q8</f>
        <v>0.493651979088872</v>
      </c>
      <c r="E14" s="3"/>
      <c r="F14" s="3"/>
      <c r="G14" s="3"/>
      <c r="H14" s="3"/>
      <c r="I14" s="3"/>
      <c r="J14" s="3"/>
      <c r="K14" s="3"/>
    </row>
    <row r="15" customFormat="false" ht="14.4" hidden="false" customHeight="false" outlineLevel="0" collapsed="false">
      <c r="A15" s="33" t="s">
        <v>369</v>
      </c>
      <c r="B15" s="34" t="n">
        <f aca="false">'Precedent Transactions'!O9</f>
        <v>62</v>
      </c>
      <c r="C15" s="34" t="n">
        <f aca="false">'Precedent Transactions'!P9</f>
        <v>40.2597</v>
      </c>
      <c r="D15" s="41" t="n">
        <f aca="false">'Precedent Transactions'!Q9</f>
        <v>0.54000154000154</v>
      </c>
      <c r="E15" s="3"/>
      <c r="F15" s="3"/>
      <c r="G15" s="3"/>
      <c r="H15" s="3"/>
      <c r="I15" s="3"/>
      <c r="J15" s="3"/>
      <c r="K15" s="3"/>
    </row>
    <row r="16" customFormat="false" ht="14.4" hidden="false" customHeight="false" outlineLevel="0" collapsed="false">
      <c r="A16" s="33" t="s">
        <v>375</v>
      </c>
      <c r="B16" s="34" t="n">
        <f aca="false">'Precedent Transactions'!O12</f>
        <v>76</v>
      </c>
      <c r="C16" s="34" t="n">
        <f aca="false">'Precedent Transactions'!P12</f>
        <v>54.75</v>
      </c>
      <c r="D16" s="41" t="n">
        <f aca="false">'Precedent Transactions'!Q12</f>
        <v>0.388127853881278</v>
      </c>
      <c r="E16" s="3"/>
      <c r="F16" s="3"/>
      <c r="G16" s="3"/>
      <c r="H16" s="3"/>
      <c r="I16" s="3"/>
      <c r="J16" s="3"/>
      <c r="K16" s="3"/>
    </row>
    <row r="17" customFormat="false" ht="14.4" hidden="false" customHeight="false" outlineLevel="0" collapsed="false">
      <c r="A17" s="33" t="s">
        <v>377</v>
      </c>
      <c r="B17" s="34" t="n">
        <f aca="false">'Precedent Transactions'!O13</f>
        <v>92</v>
      </c>
      <c r="C17" s="34" t="n">
        <f aca="false">'Precedent Transactions'!P13</f>
        <v>69.697</v>
      </c>
      <c r="D17" s="41" t="n">
        <f aca="false">'Precedent Transactions'!Q13</f>
        <v>0.319999426087206</v>
      </c>
      <c r="E17" s="3"/>
      <c r="F17" s="3"/>
      <c r="G17" s="3"/>
      <c r="H17" s="3"/>
      <c r="I17" s="3"/>
      <c r="J17" s="3"/>
      <c r="K17" s="3"/>
    </row>
    <row r="18" customFormat="false" ht="14.4" hidden="false" customHeight="false" outlineLevel="0" collapsed="false">
      <c r="A18" s="3"/>
      <c r="B18" s="3"/>
      <c r="C18" s="3"/>
      <c r="D18" s="3"/>
      <c r="E18" s="3"/>
      <c r="F18" s="3"/>
      <c r="G18" s="3"/>
      <c r="H18" s="3"/>
      <c r="I18" s="3"/>
      <c r="J18" s="3"/>
      <c r="K18" s="3"/>
    </row>
    <row r="19" customFormat="false" ht="19.5" hidden="false" customHeight="true" outlineLevel="0" collapsed="false">
      <c r="A19" s="4" t="s">
        <v>419</v>
      </c>
      <c r="B19" s="4"/>
      <c r="C19" s="4"/>
      <c r="D19" s="4"/>
      <c r="E19" s="4"/>
      <c r="F19" s="3"/>
      <c r="G19" s="3"/>
      <c r="H19" s="3"/>
      <c r="I19" s="3"/>
      <c r="J19" s="3"/>
      <c r="K19" s="3"/>
    </row>
    <row r="20" customFormat="false" ht="24" hidden="false" customHeight="true" outlineLevel="0" collapsed="false">
      <c r="A20" s="32" t="s">
        <v>401</v>
      </c>
      <c r="B20" s="32" t="s">
        <v>258</v>
      </c>
      <c r="C20" s="3"/>
      <c r="D20" s="3"/>
      <c r="E20" s="3"/>
      <c r="F20" s="3"/>
      <c r="G20" s="3"/>
      <c r="H20" s="3"/>
      <c r="I20" s="3"/>
      <c r="J20" s="3"/>
      <c r="K20" s="3"/>
    </row>
    <row r="21" customFormat="false" ht="14.4" hidden="false" customHeight="false" outlineLevel="0" collapsed="false">
      <c r="A21" s="33" t="s">
        <v>389</v>
      </c>
      <c r="B21" s="41" t="n">
        <f aca="false">MIN(D12:D17)</f>
        <v>0.147</v>
      </c>
      <c r="C21" s="3"/>
      <c r="D21" s="3"/>
      <c r="E21" s="3"/>
      <c r="F21" s="3"/>
      <c r="G21" s="3"/>
      <c r="H21" s="3"/>
      <c r="I21" s="3"/>
      <c r="J21" s="3"/>
      <c r="K21" s="3"/>
    </row>
    <row r="22" customFormat="false" ht="14.4" hidden="false" customHeight="false" outlineLevel="0" collapsed="false">
      <c r="A22" s="33" t="s">
        <v>402</v>
      </c>
      <c r="B22" s="41" t="n">
        <f aca="false">_xlfn.PERCENTILE.INC(D12:D17,0.25)</f>
        <v>0.33703153303572</v>
      </c>
      <c r="C22" s="3"/>
      <c r="D22" s="3"/>
      <c r="E22" s="3"/>
      <c r="F22" s="3"/>
      <c r="G22" s="3"/>
      <c r="H22" s="3"/>
      <c r="I22" s="3"/>
      <c r="J22" s="3"/>
      <c r="K22" s="3"/>
    </row>
    <row r="23" customFormat="false" ht="14.4" hidden="false" customHeight="false" outlineLevel="0" collapsed="false">
      <c r="A23" s="33" t="s">
        <v>34</v>
      </c>
      <c r="B23" s="41" t="n">
        <f aca="false">MEDIAN(D12:D17)</f>
        <v>0.440889916485075</v>
      </c>
      <c r="C23" s="3"/>
      <c r="D23" s="3"/>
      <c r="E23" s="3"/>
      <c r="F23" s="3"/>
      <c r="G23" s="3"/>
      <c r="H23" s="3"/>
      <c r="I23" s="3"/>
      <c r="J23" s="3"/>
      <c r="K23" s="3"/>
    </row>
    <row r="24" customFormat="false" ht="14.4" hidden="false" customHeight="false" outlineLevel="0" collapsed="false">
      <c r="A24" s="33" t="s">
        <v>407</v>
      </c>
      <c r="B24" s="41" t="n">
        <f aca="false">_xlfn.PERCENTILE.INC(D12:D17,0.75)</f>
        <v>0.52841414977337</v>
      </c>
      <c r="C24" s="3"/>
      <c r="D24" s="3"/>
      <c r="E24" s="3"/>
      <c r="F24" s="3"/>
      <c r="G24" s="3"/>
      <c r="H24" s="3"/>
      <c r="I24" s="3"/>
      <c r="J24" s="3"/>
      <c r="K24" s="3"/>
    </row>
    <row r="25" customFormat="false" ht="14.4" hidden="false" customHeight="false" outlineLevel="0" collapsed="false">
      <c r="A25" s="33" t="s">
        <v>392</v>
      </c>
      <c r="B25" s="41" t="n">
        <f aca="false">MAX(D12:D17)</f>
        <v>1</v>
      </c>
      <c r="C25" s="3"/>
      <c r="D25" s="3"/>
      <c r="E25" s="3"/>
      <c r="F25" s="3"/>
      <c r="G25" s="3"/>
      <c r="H25" s="3"/>
      <c r="I25" s="3"/>
      <c r="J25" s="3"/>
      <c r="K25" s="3"/>
    </row>
    <row r="26" customFormat="false" ht="14.4" hidden="false" customHeight="false" outlineLevel="0" collapsed="false">
      <c r="A26" s="33" t="s">
        <v>408</v>
      </c>
      <c r="B26" s="41" t="n">
        <f aca="false">AVERAGE(D12:D17)</f>
        <v>0.481463466509816</v>
      </c>
      <c r="C26" s="3"/>
      <c r="D26" s="3"/>
      <c r="E26" s="3"/>
      <c r="F26" s="3"/>
      <c r="G26" s="3"/>
      <c r="H26" s="3"/>
      <c r="I26" s="3"/>
      <c r="J26" s="3"/>
      <c r="K26" s="3"/>
    </row>
    <row r="27" customFormat="false" ht="14.4" hidden="false" customHeight="false" outlineLevel="0" collapsed="false">
      <c r="A27" s="3"/>
      <c r="B27" s="3"/>
      <c r="C27" s="3"/>
      <c r="D27" s="3"/>
      <c r="E27" s="3"/>
      <c r="F27" s="3"/>
      <c r="G27" s="3"/>
      <c r="H27" s="3"/>
      <c r="I27" s="3"/>
      <c r="J27" s="3"/>
      <c r="K27" s="3"/>
    </row>
    <row r="28" customFormat="false" ht="19.5" hidden="false" customHeight="true" outlineLevel="0" collapsed="false">
      <c r="A28" s="4" t="s">
        <v>420</v>
      </c>
      <c r="B28" s="4"/>
      <c r="C28" s="4"/>
      <c r="D28" s="4"/>
      <c r="E28" s="4"/>
      <c r="F28" s="3"/>
      <c r="G28" s="3"/>
      <c r="H28" s="3"/>
      <c r="I28" s="3"/>
      <c r="J28" s="3"/>
      <c r="K28" s="3"/>
    </row>
    <row r="29" customFormat="false" ht="24" hidden="false" customHeight="true" outlineLevel="0" collapsed="false">
      <c r="A29" s="32" t="s">
        <v>421</v>
      </c>
      <c r="B29" s="32" t="s">
        <v>422</v>
      </c>
      <c r="C29" s="3"/>
      <c r="D29" s="3"/>
      <c r="E29" s="3"/>
      <c r="F29" s="3"/>
      <c r="G29" s="3"/>
      <c r="H29" s="3"/>
      <c r="I29" s="3"/>
      <c r="J29" s="3"/>
      <c r="K29" s="3"/>
    </row>
    <row r="30" customFormat="false" ht="23.85" hidden="false" customHeight="false" outlineLevel="0" collapsed="false">
      <c r="A30" s="33" t="s">
        <v>423</v>
      </c>
      <c r="B30" s="41" t="n">
        <f aca="false">B8-B23</f>
        <v>-0.217470166994834</v>
      </c>
      <c r="C30" s="3"/>
      <c r="D30" s="3"/>
      <c r="E30" s="3"/>
      <c r="F30" s="3"/>
      <c r="G30" s="3"/>
      <c r="H30" s="3"/>
      <c r="I30" s="3"/>
      <c r="J30" s="3"/>
      <c r="K30" s="3"/>
    </row>
    <row r="31" customFormat="false" ht="35.05" hidden="false" customHeight="true" outlineLevel="0" collapsed="false">
      <c r="A31" s="33" t="s">
        <v>424</v>
      </c>
      <c r="B31" s="39" t="str">
        <f aca="false">IF(AND(B8&gt;=B22,B8&lt;=B24),"YES","NO")</f>
        <v>NO</v>
      </c>
      <c r="C31" s="3"/>
      <c r="D31" s="3"/>
      <c r="E31" s="3"/>
      <c r="F31" s="63" t="s">
        <v>425</v>
      </c>
      <c r="G31" s="63"/>
      <c r="H31" s="63"/>
      <c r="I31" s="63"/>
      <c r="J31" s="63"/>
      <c r="K31" s="63"/>
    </row>
    <row r="32" customFormat="false" ht="14.4" hidden="false" customHeight="false" outlineLevel="0" collapsed="false">
      <c r="A32" s="3"/>
      <c r="B32" s="3"/>
      <c r="C32" s="3"/>
      <c r="D32" s="3"/>
      <c r="E32" s="3"/>
      <c r="F32" s="63"/>
      <c r="G32" s="63"/>
      <c r="H32" s="63"/>
      <c r="I32" s="63"/>
      <c r="J32" s="63"/>
      <c r="K32" s="63"/>
    </row>
    <row r="33" customFormat="false" ht="14.4" hidden="false" customHeight="true" outlineLevel="0" collapsed="false">
      <c r="A33" s="100" t="s">
        <v>426</v>
      </c>
      <c r="B33" s="100"/>
      <c r="C33" s="100"/>
      <c r="D33" s="100"/>
      <c r="E33" s="100"/>
      <c r="F33" s="63"/>
      <c r="G33" s="63"/>
      <c r="H33" s="63"/>
      <c r="I33" s="63"/>
      <c r="J33" s="63"/>
      <c r="K33" s="63"/>
    </row>
    <row r="34" customFormat="false" ht="14.4" hidden="false" customHeight="false" outlineLevel="0" collapsed="false">
      <c r="A34" s="100"/>
      <c r="B34" s="100"/>
      <c r="C34" s="100"/>
      <c r="D34" s="100"/>
      <c r="E34" s="100"/>
      <c r="F34" s="63"/>
      <c r="G34" s="63"/>
      <c r="H34" s="63"/>
      <c r="I34" s="63"/>
      <c r="J34" s="63"/>
      <c r="K34" s="63"/>
    </row>
  </sheetData>
  <mergeCells count="8">
    <mergeCell ref="A1:E1"/>
    <mergeCell ref="A2:E2"/>
    <mergeCell ref="A4:E4"/>
    <mergeCell ref="A10:E10"/>
    <mergeCell ref="A19:E19"/>
    <mergeCell ref="A28:E28"/>
    <mergeCell ref="F31:K34"/>
    <mergeCell ref="A33:E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4" customHeight="false" zeroHeight="false" outlineLevelRow="0" outlineLevelCol="0"/>
  <cols>
    <col collapsed="false" customWidth="true" hidden="false" outlineLevel="0" max="1" min="1" style="0" width="32"/>
    <col collapsed="false" customWidth="true" hidden="false" outlineLevel="0" max="7" min="2" style="0" width="17"/>
    <col collapsed="false" customWidth="true" hidden="false" outlineLevel="0" max="8" min="8" style="0" width="18"/>
    <col collapsed="false" customWidth="true" hidden="false" outlineLevel="0" max="9" min="9" style="0" width="17"/>
    <col collapsed="false" customWidth="true" hidden="false" outlineLevel="0" max="10" min="10" style="0" width="20"/>
    <col collapsed="false" customWidth="true" hidden="false" outlineLevel="0" max="11" min="11" style="0" width="16"/>
    <col collapsed="false" customWidth="true" hidden="false" outlineLevel="0" max="12" min="12" style="0" width="13"/>
    <col collapsed="false" customWidth="true" hidden="false" outlineLevel="0" max="13" min="13" style="0" width="21"/>
  </cols>
  <sheetData>
    <row r="1" customFormat="false" ht="25.5" hidden="false" customHeight="true" outlineLevel="0" collapsed="false">
      <c r="A1" s="1" t="s">
        <v>427</v>
      </c>
      <c r="B1" s="1"/>
      <c r="C1" s="1"/>
      <c r="D1" s="1"/>
      <c r="E1" s="1"/>
      <c r="F1" s="1"/>
      <c r="G1" s="1"/>
      <c r="H1" s="1"/>
      <c r="I1" s="1"/>
      <c r="J1" s="1"/>
      <c r="K1" s="1"/>
      <c r="L1" s="1"/>
      <c r="M1" s="1"/>
    </row>
    <row r="2" customFormat="false" ht="18" hidden="false" customHeight="true" outlineLevel="0" collapsed="false">
      <c r="A2" s="2" t="s">
        <v>428</v>
      </c>
      <c r="B2" s="2"/>
      <c r="C2" s="2"/>
      <c r="D2" s="2"/>
      <c r="E2" s="2"/>
      <c r="F2" s="2"/>
      <c r="G2" s="2"/>
      <c r="H2" s="2"/>
      <c r="I2" s="2"/>
      <c r="J2" s="2"/>
      <c r="K2" s="2"/>
      <c r="L2" s="2"/>
      <c r="M2" s="2"/>
    </row>
    <row r="3" customFormat="false" ht="15" hidden="false" customHeight="true" outlineLevel="0" collapsed="false">
      <c r="A3" s="33"/>
      <c r="B3" s="33"/>
      <c r="C3" s="33"/>
      <c r="D3" s="33"/>
      <c r="E3" s="33"/>
      <c r="F3" s="33"/>
      <c r="G3" s="33"/>
      <c r="H3" s="33"/>
      <c r="I3" s="33"/>
      <c r="J3" s="33"/>
      <c r="K3" s="33"/>
      <c r="L3" s="33"/>
      <c r="M3" s="33"/>
    </row>
    <row r="4" customFormat="false" ht="19.5" hidden="false" customHeight="true" outlineLevel="0" collapsed="false">
      <c r="A4" s="44" t="s">
        <v>429</v>
      </c>
      <c r="B4" s="44"/>
      <c r="C4" s="44"/>
      <c r="D4" s="44"/>
      <c r="E4" s="33"/>
      <c r="F4" s="33"/>
      <c r="G4" s="33"/>
      <c r="H4" s="33"/>
      <c r="I4" s="33"/>
      <c r="J4" s="33"/>
      <c r="K4" s="33"/>
      <c r="L4" s="33"/>
      <c r="M4" s="33"/>
    </row>
    <row r="5" customFormat="false" ht="24" hidden="false" customHeight="true" outlineLevel="0" collapsed="false">
      <c r="A5" s="45" t="s">
        <v>430</v>
      </c>
      <c r="B5" s="45" t="s">
        <v>4</v>
      </c>
      <c r="C5" s="45" t="s">
        <v>167</v>
      </c>
      <c r="D5" s="46" t="s">
        <v>431</v>
      </c>
      <c r="E5" s="33"/>
      <c r="F5" s="33"/>
      <c r="G5" s="33"/>
      <c r="H5" s="33"/>
      <c r="I5" s="33"/>
      <c r="J5" s="33"/>
      <c r="K5" s="33"/>
      <c r="L5" s="33"/>
      <c r="M5" s="33"/>
    </row>
    <row r="6" customFormat="false" ht="15" hidden="false" customHeight="true" outlineLevel="0" collapsed="false">
      <c r="A6" s="48" t="s">
        <v>432</v>
      </c>
      <c r="B6" s="79" t="n">
        <f aca="false">'Target Financials'!B24</f>
        <v>4160.3</v>
      </c>
      <c r="C6" s="48" t="s">
        <v>141</v>
      </c>
      <c r="D6" s="49" t="s">
        <v>84</v>
      </c>
      <c r="E6" s="33"/>
      <c r="F6" s="33"/>
      <c r="G6" s="33"/>
      <c r="H6" s="33"/>
      <c r="I6" s="33"/>
      <c r="J6" s="33"/>
      <c r="K6" s="33"/>
      <c r="L6" s="33"/>
      <c r="M6" s="33"/>
    </row>
    <row r="7" customFormat="false" ht="23.85" hidden="false" customHeight="false" outlineLevel="0" collapsed="false">
      <c r="A7" s="52" t="s">
        <v>433</v>
      </c>
      <c r="B7" s="80" t="n">
        <f aca="false">'Target Financials'!B25</f>
        <v>1013.8</v>
      </c>
      <c r="C7" s="52" t="s">
        <v>434</v>
      </c>
      <c r="D7" s="53" t="s">
        <v>84</v>
      </c>
      <c r="E7" s="33"/>
      <c r="F7" s="33"/>
      <c r="G7" s="33"/>
      <c r="H7" s="33"/>
      <c r="I7" s="33"/>
      <c r="J7" s="33"/>
      <c r="K7" s="33"/>
      <c r="L7" s="33"/>
      <c r="M7" s="33"/>
    </row>
    <row r="8" customFormat="false" ht="15" hidden="false" customHeight="true" outlineLevel="0" collapsed="false">
      <c r="A8" s="52" t="s">
        <v>435</v>
      </c>
      <c r="B8" s="80" t="n">
        <f aca="false">'Target Financials'!B26</f>
        <v>3333</v>
      </c>
      <c r="C8" s="52" t="s">
        <v>436</v>
      </c>
      <c r="D8" s="53" t="s">
        <v>84</v>
      </c>
      <c r="E8" s="33"/>
      <c r="F8" s="33"/>
      <c r="G8" s="33"/>
      <c r="H8" s="33"/>
      <c r="I8" s="33"/>
      <c r="J8" s="33"/>
      <c r="K8" s="33"/>
      <c r="L8" s="33"/>
      <c r="M8" s="33"/>
    </row>
    <row r="9" customFormat="false" ht="35.05" hidden="false" customHeight="false" outlineLevel="0" collapsed="false">
      <c r="A9" s="52" t="s">
        <v>175</v>
      </c>
      <c r="B9" s="81" t="n">
        <f aca="false">'Target Financials'!B27</f>
        <v>49.0259628714286</v>
      </c>
      <c r="C9" s="52" t="s">
        <v>176</v>
      </c>
      <c r="D9" s="53" t="s">
        <v>437</v>
      </c>
      <c r="E9" s="33"/>
      <c r="F9" s="33"/>
      <c r="G9" s="33"/>
      <c r="H9" s="33"/>
      <c r="I9" s="33"/>
      <c r="J9" s="33"/>
      <c r="K9" s="33"/>
      <c r="L9" s="33"/>
      <c r="M9" s="33"/>
    </row>
    <row r="10" customFormat="false" ht="15" hidden="false" customHeight="true" outlineLevel="0" collapsed="false">
      <c r="A10" s="52" t="s">
        <v>19</v>
      </c>
      <c r="B10" s="155" t="n">
        <f aca="false">'Target Financials'!B28</f>
        <v>171.65</v>
      </c>
      <c r="C10" s="52" t="s">
        <v>178</v>
      </c>
      <c r="D10" s="53" t="s">
        <v>75</v>
      </c>
      <c r="E10" s="33"/>
      <c r="F10" s="33"/>
      <c r="G10" s="33"/>
      <c r="H10" s="33"/>
      <c r="I10" s="33"/>
      <c r="J10" s="33"/>
      <c r="K10" s="33"/>
      <c r="L10" s="33"/>
      <c r="M10" s="33"/>
    </row>
    <row r="11" customFormat="false" ht="15" hidden="false" customHeight="true" outlineLevel="0" collapsed="false">
      <c r="A11" s="52" t="s">
        <v>27</v>
      </c>
      <c r="B11" s="155" t="n">
        <f aca="false">'Target Financials'!B29</f>
        <v>210</v>
      </c>
      <c r="C11" s="52" t="s">
        <v>438</v>
      </c>
      <c r="D11" s="53" t="s">
        <v>61</v>
      </c>
      <c r="E11" s="33"/>
      <c r="F11" s="33"/>
      <c r="G11" s="33"/>
      <c r="H11" s="33"/>
      <c r="I11" s="33"/>
      <c r="J11" s="33"/>
      <c r="K11" s="33"/>
      <c r="L11" s="33"/>
      <c r="M11" s="33"/>
    </row>
    <row r="12" customFormat="false" ht="15" hidden="false" customHeight="true" outlineLevel="0" collapsed="false">
      <c r="A12" s="33"/>
      <c r="B12" s="33"/>
      <c r="C12" s="33"/>
      <c r="D12" s="33"/>
      <c r="E12" s="33"/>
      <c r="F12" s="33"/>
      <c r="G12" s="33"/>
      <c r="H12" s="33"/>
      <c r="I12" s="33"/>
      <c r="J12" s="33"/>
      <c r="K12" s="33"/>
      <c r="L12" s="33"/>
      <c r="M12" s="33"/>
    </row>
    <row r="13" customFormat="false" ht="15" hidden="false" customHeight="true" outlineLevel="0" collapsed="false">
      <c r="A13" s="33"/>
      <c r="B13" s="33"/>
      <c r="C13" s="33"/>
      <c r="D13" s="33"/>
      <c r="E13" s="33"/>
      <c r="F13" s="33"/>
      <c r="G13" s="33"/>
      <c r="H13" s="33"/>
      <c r="I13" s="33"/>
      <c r="J13" s="33"/>
      <c r="K13" s="33"/>
      <c r="L13" s="33"/>
      <c r="M13" s="33"/>
    </row>
    <row r="14" customFormat="false" ht="19.5" hidden="false" customHeight="true" outlineLevel="0" collapsed="false">
      <c r="A14" s="44" t="s">
        <v>439</v>
      </c>
      <c r="B14" s="44"/>
      <c r="C14" s="44"/>
      <c r="D14" s="44"/>
      <c r="E14" s="44"/>
      <c r="F14" s="44"/>
      <c r="G14" s="44"/>
      <c r="H14" s="44"/>
      <c r="I14" s="44"/>
      <c r="J14" s="44"/>
      <c r="K14" s="44"/>
      <c r="L14" s="44"/>
      <c r="M14" s="44"/>
    </row>
    <row r="15" customFormat="false" ht="34" hidden="false" customHeight="true" outlineLevel="0" collapsed="false">
      <c r="A15" s="45" t="s">
        <v>49</v>
      </c>
      <c r="B15" s="45" t="s">
        <v>440</v>
      </c>
      <c r="C15" s="45" t="s">
        <v>34</v>
      </c>
      <c r="D15" s="45" t="s">
        <v>441</v>
      </c>
      <c r="E15" s="45"/>
      <c r="F15" s="45" t="s">
        <v>395</v>
      </c>
      <c r="G15" s="45" t="s">
        <v>229</v>
      </c>
      <c r="H15" s="45" t="s">
        <v>227</v>
      </c>
      <c r="I15" s="45" t="s">
        <v>442</v>
      </c>
      <c r="J15" s="46" t="s">
        <v>443</v>
      </c>
      <c r="K15" s="20" t="s">
        <v>444</v>
      </c>
      <c r="L15" s="20" t="s">
        <v>175</v>
      </c>
      <c r="M15" s="20" t="s">
        <v>445</v>
      </c>
    </row>
    <row r="16" customFormat="false" ht="15" hidden="false" customHeight="true" outlineLevel="0" collapsed="false">
      <c r="A16" s="48" t="s">
        <v>446</v>
      </c>
      <c r="B16" s="131" t="n">
        <f aca="false">'Transaction Multiples'!B29</f>
        <v>2.0116990409458</v>
      </c>
      <c r="C16" s="131" t="n">
        <f aca="false">'Transaction Multiples'!B30</f>
        <v>2.40271652456986</v>
      </c>
      <c r="D16" s="131" t="n">
        <f aca="false">'Transaction Multiples'!B31</f>
        <v>2.55275824889944</v>
      </c>
      <c r="E16" s="48"/>
      <c r="F16" s="48"/>
      <c r="G16" s="48"/>
      <c r="H16" s="48"/>
      <c r="I16" s="48"/>
      <c r="J16" s="49"/>
      <c r="K16" s="33"/>
      <c r="L16" s="33"/>
      <c r="M16" s="33"/>
    </row>
    <row r="17" customFormat="false" ht="15" hidden="false" customHeight="true" outlineLevel="0" collapsed="false">
      <c r="A17" s="52" t="s">
        <v>447</v>
      </c>
      <c r="B17" s="52"/>
      <c r="C17" s="52"/>
      <c r="D17" s="52"/>
      <c r="E17" s="52"/>
      <c r="F17" s="141" t="n">
        <f aca="false">B16</f>
        <v>2.0116990409458</v>
      </c>
      <c r="G17" s="62" t="n">
        <f aca="false">$B$6*F17</f>
        <v>8369.27152004681</v>
      </c>
      <c r="H17" s="62" t="n">
        <f aca="false">G17-$B$8</f>
        <v>5036.27152004681</v>
      </c>
      <c r="I17" s="60" t="n">
        <f aca="false">H17/$B$9</f>
        <v>102.726621265033</v>
      </c>
      <c r="J17" s="142" t="n">
        <f aca="false">I17/$B$11-1</f>
        <v>-0.510825613023652</v>
      </c>
      <c r="K17" s="73" t="n">
        <f aca="false">-$B$8</f>
        <v>-3333</v>
      </c>
      <c r="L17" s="156" t="n">
        <f aca="false">$B$9</f>
        <v>49.0259628714286</v>
      </c>
      <c r="M17" s="109" t="n">
        <f aca="false">I17/$B$10-1</f>
        <v>-0.401534394028354</v>
      </c>
    </row>
    <row r="18" customFormat="false" ht="15" hidden="false" customHeight="true" outlineLevel="0" collapsed="false">
      <c r="A18" s="113" t="s">
        <v>34</v>
      </c>
      <c r="B18" s="113"/>
      <c r="C18" s="113"/>
      <c r="D18" s="113"/>
      <c r="E18" s="113"/>
      <c r="F18" s="143" t="n">
        <f aca="false">C16</f>
        <v>2.40271652456986</v>
      </c>
      <c r="G18" s="75" t="n">
        <f aca="false">$B$6*F18</f>
        <v>9996.021557168</v>
      </c>
      <c r="H18" s="75" t="n">
        <f aca="false">G18-$B$8</f>
        <v>6663.021557168</v>
      </c>
      <c r="I18" s="157" t="n">
        <f aca="false">H18/$B$9</f>
        <v>135.908020300221</v>
      </c>
      <c r="J18" s="144" t="n">
        <f aca="false">I18/$B$11-1</f>
        <v>-0.352818950951328</v>
      </c>
      <c r="K18" s="75" t="n">
        <f aca="false">-$B$8</f>
        <v>-3333</v>
      </c>
      <c r="L18" s="158" t="n">
        <f aca="false">$B$9</f>
        <v>49.0259628714286</v>
      </c>
      <c r="M18" s="159" t="n">
        <f aca="false">I18/$B$10-1</f>
        <v>-0.208225923098042</v>
      </c>
    </row>
    <row r="19" customFormat="false" ht="15" hidden="false" customHeight="true" outlineLevel="0" collapsed="false">
      <c r="A19" s="52" t="s">
        <v>448</v>
      </c>
      <c r="B19" s="52"/>
      <c r="C19" s="52"/>
      <c r="D19" s="52"/>
      <c r="E19" s="52"/>
      <c r="F19" s="141" t="n">
        <f aca="false">D16</f>
        <v>2.55275824889944</v>
      </c>
      <c r="G19" s="62" t="n">
        <f aca="false">$B$6*F19</f>
        <v>10620.2401428963</v>
      </c>
      <c r="H19" s="62" t="n">
        <f aca="false">G19-$B$8</f>
        <v>7287.24014289634</v>
      </c>
      <c r="I19" s="60" t="n">
        <f aca="false">H19/$B$9</f>
        <v>148.64042878683</v>
      </c>
      <c r="J19" s="142" t="n">
        <f aca="false">I19/$B$11-1</f>
        <v>-0.29218843434843</v>
      </c>
      <c r="K19" s="62" t="n">
        <f aca="false">-$B$8</f>
        <v>-3333</v>
      </c>
      <c r="L19" s="160" t="n">
        <f aca="false">$B$9</f>
        <v>49.0259628714286</v>
      </c>
      <c r="M19" s="61" t="n">
        <f aca="false">I19/$B$10-1</f>
        <v>-0.13404935166426</v>
      </c>
    </row>
    <row r="20" customFormat="false" ht="15" hidden="false" customHeight="true" outlineLevel="0" collapsed="false">
      <c r="A20" s="33"/>
      <c r="B20" s="33"/>
      <c r="C20" s="33"/>
      <c r="D20" s="33"/>
      <c r="E20" s="33"/>
      <c r="F20" s="33"/>
      <c r="G20" s="33"/>
      <c r="H20" s="33"/>
      <c r="I20" s="33"/>
      <c r="J20" s="33"/>
      <c r="K20" s="33"/>
      <c r="L20" s="33"/>
      <c r="M20" s="33"/>
    </row>
    <row r="21" customFormat="false" ht="15" hidden="false" customHeight="true" outlineLevel="0" collapsed="false">
      <c r="A21" s="33"/>
      <c r="B21" s="33"/>
      <c r="C21" s="33"/>
      <c r="D21" s="33"/>
      <c r="E21" s="33"/>
      <c r="F21" s="33"/>
      <c r="G21" s="33"/>
      <c r="H21" s="33"/>
      <c r="I21" s="33"/>
      <c r="J21" s="33"/>
      <c r="K21" s="33"/>
      <c r="L21" s="33"/>
      <c r="M21" s="33"/>
    </row>
    <row r="22" customFormat="false" ht="19.5" hidden="false" customHeight="true" outlineLevel="0" collapsed="false">
      <c r="A22" s="44" t="s">
        <v>449</v>
      </c>
      <c r="B22" s="44"/>
      <c r="C22" s="44"/>
      <c r="D22" s="44"/>
      <c r="E22" s="44"/>
      <c r="F22" s="44"/>
      <c r="G22" s="44"/>
      <c r="H22" s="44"/>
      <c r="I22" s="44"/>
      <c r="J22" s="44"/>
      <c r="K22" s="44"/>
      <c r="L22" s="44"/>
      <c r="M22" s="44"/>
    </row>
    <row r="23" customFormat="false" ht="34" hidden="false" customHeight="true" outlineLevel="0" collapsed="false">
      <c r="A23" s="45" t="s">
        <v>49</v>
      </c>
      <c r="B23" s="45" t="s">
        <v>440</v>
      </c>
      <c r="C23" s="45" t="s">
        <v>34</v>
      </c>
      <c r="D23" s="45" t="s">
        <v>441</v>
      </c>
      <c r="E23" s="45"/>
      <c r="F23" s="45" t="s">
        <v>395</v>
      </c>
      <c r="G23" s="45" t="s">
        <v>229</v>
      </c>
      <c r="H23" s="45" t="s">
        <v>227</v>
      </c>
      <c r="I23" s="45" t="s">
        <v>442</v>
      </c>
      <c r="J23" s="46" t="s">
        <v>443</v>
      </c>
      <c r="K23" s="20" t="s">
        <v>444</v>
      </c>
      <c r="L23" s="20" t="s">
        <v>175</v>
      </c>
      <c r="M23" s="20" t="s">
        <v>445</v>
      </c>
    </row>
    <row r="24" customFormat="false" ht="15" hidden="false" customHeight="true" outlineLevel="0" collapsed="false">
      <c r="A24" s="48" t="s">
        <v>450</v>
      </c>
      <c r="B24" s="131" t="n">
        <f aca="false">'Transaction Multiples'!C29</f>
        <v>10.8184922636767</v>
      </c>
      <c r="C24" s="131" t="n">
        <f aca="false">'Transaction Multiples'!C30</f>
        <v>11.8064380572828</v>
      </c>
      <c r="D24" s="131" t="n">
        <f aca="false">'Transaction Multiples'!C31</f>
        <v>13.2617163080115</v>
      </c>
      <c r="E24" s="48"/>
      <c r="F24" s="48"/>
      <c r="G24" s="48"/>
      <c r="H24" s="48"/>
      <c r="I24" s="48"/>
      <c r="J24" s="49"/>
      <c r="K24" s="33"/>
      <c r="L24" s="33"/>
      <c r="M24" s="33"/>
    </row>
    <row r="25" customFormat="false" ht="15" hidden="false" customHeight="true" outlineLevel="0" collapsed="false">
      <c r="A25" s="52" t="s">
        <v>447</v>
      </c>
      <c r="B25" s="52"/>
      <c r="C25" s="52"/>
      <c r="D25" s="52"/>
      <c r="E25" s="52"/>
      <c r="F25" s="141" t="n">
        <f aca="false">B24</f>
        <v>10.8184922636767</v>
      </c>
      <c r="G25" s="62" t="n">
        <f aca="false">$B$7*F25</f>
        <v>10967.7874569155</v>
      </c>
      <c r="H25" s="62" t="n">
        <f aca="false">G25-$B$8</f>
        <v>7634.78745691548</v>
      </c>
      <c r="I25" s="60" t="n">
        <f aca="false">H25/$B$9</f>
        <v>155.729474950606</v>
      </c>
      <c r="J25" s="142" t="n">
        <f aca="false">I25/$B$11-1</f>
        <v>-0.258431071663781</v>
      </c>
      <c r="K25" s="73" t="n">
        <f aca="false">-$B$8</f>
        <v>-3333</v>
      </c>
      <c r="L25" s="156" t="n">
        <f aca="false">$B$9</f>
        <v>49.0259628714286</v>
      </c>
      <c r="M25" s="109" t="n">
        <f aca="false">I25/$B$10-1</f>
        <v>-0.0927499274651553</v>
      </c>
    </row>
    <row r="26" customFormat="false" ht="15" hidden="false" customHeight="true" outlineLevel="0" collapsed="false">
      <c r="A26" s="113" t="s">
        <v>34</v>
      </c>
      <c r="B26" s="113"/>
      <c r="C26" s="113"/>
      <c r="D26" s="113"/>
      <c r="E26" s="113"/>
      <c r="F26" s="143" t="n">
        <f aca="false">C24</f>
        <v>11.8064380572828</v>
      </c>
      <c r="G26" s="75" t="n">
        <f aca="false">$B$7*F26</f>
        <v>11969.3669024733</v>
      </c>
      <c r="H26" s="75" t="n">
        <f aca="false">G26-$B$8</f>
        <v>8636.36690247328</v>
      </c>
      <c r="I26" s="157" t="n">
        <f aca="false">H26/$B$9</f>
        <v>176.159047097602</v>
      </c>
      <c r="J26" s="144" t="n">
        <f aca="false">I26/$B$11-1</f>
        <v>-0.161147394773323</v>
      </c>
      <c r="K26" s="75" t="n">
        <f aca="false">-$B$8</f>
        <v>-3333</v>
      </c>
      <c r="L26" s="158" t="n">
        <f aca="false">$B$9</f>
        <v>49.0259628714286</v>
      </c>
      <c r="M26" s="159" t="n">
        <f aca="false">I26/$B$10-1</f>
        <v>0.0262688441456582</v>
      </c>
    </row>
    <row r="27" customFormat="false" ht="15" hidden="false" customHeight="true" outlineLevel="0" collapsed="false">
      <c r="A27" s="52" t="s">
        <v>448</v>
      </c>
      <c r="B27" s="52"/>
      <c r="C27" s="52"/>
      <c r="D27" s="52"/>
      <c r="E27" s="52"/>
      <c r="F27" s="141" t="n">
        <f aca="false">D24</f>
        <v>13.2617163080115</v>
      </c>
      <c r="G27" s="62" t="n">
        <f aca="false">$B$7*F27</f>
        <v>13444.727993062</v>
      </c>
      <c r="H27" s="62" t="n">
        <f aca="false">G27-$B$8</f>
        <v>10111.727993062</v>
      </c>
      <c r="I27" s="60" t="n">
        <f aca="false">H27/$B$9</f>
        <v>206.252511951274</v>
      </c>
      <c r="J27" s="142" t="n">
        <f aca="false">I27/$B$11-1</f>
        <v>-0.0178451811844114</v>
      </c>
      <c r="K27" s="62" t="n">
        <f aca="false">-$B$8</f>
        <v>-3333</v>
      </c>
      <c r="L27" s="160" t="n">
        <f aca="false">$B$9</f>
        <v>49.0259628714286</v>
      </c>
      <c r="M27" s="61" t="n">
        <f aca="false">I27/$B$10-1</f>
        <v>0.201587602396001</v>
      </c>
    </row>
    <row r="28" customFormat="false" ht="15" hidden="false" customHeight="true" outlineLevel="0" collapsed="false">
      <c r="A28" s="33"/>
      <c r="B28" s="33"/>
      <c r="C28" s="33"/>
      <c r="D28" s="33"/>
      <c r="E28" s="33"/>
      <c r="F28" s="33"/>
      <c r="G28" s="33"/>
      <c r="H28" s="33"/>
      <c r="I28" s="33"/>
      <c r="J28" s="33"/>
      <c r="K28" s="33"/>
      <c r="L28" s="33"/>
      <c r="M28" s="33"/>
    </row>
    <row r="29" customFormat="false" ht="15" hidden="false" customHeight="true" outlineLevel="0" collapsed="false">
      <c r="A29" s="33"/>
      <c r="B29" s="33"/>
      <c r="C29" s="33"/>
      <c r="D29" s="33"/>
      <c r="E29" s="33"/>
      <c r="F29" s="33"/>
      <c r="G29" s="33"/>
      <c r="H29" s="33"/>
      <c r="I29" s="33"/>
      <c r="J29" s="33"/>
      <c r="K29" s="33"/>
      <c r="L29" s="33"/>
      <c r="M29" s="33"/>
    </row>
    <row r="30" customFormat="false" ht="19.5" hidden="false" customHeight="true" outlineLevel="0" collapsed="false">
      <c r="A30" s="44" t="s">
        <v>451</v>
      </c>
      <c r="B30" s="44"/>
      <c r="C30" s="44"/>
      <c r="D30" s="44"/>
      <c r="E30" s="44"/>
      <c r="F30" s="44"/>
      <c r="G30" s="44"/>
      <c r="H30" s="44"/>
      <c r="I30" s="44"/>
      <c r="J30" s="44"/>
      <c r="K30" s="33"/>
      <c r="L30" s="33"/>
      <c r="M30" s="33"/>
    </row>
    <row r="31" customFormat="false" ht="31.5" hidden="false" customHeight="true" outlineLevel="0" collapsed="false">
      <c r="A31" s="45" t="s">
        <v>452</v>
      </c>
      <c r="B31" s="45" t="s">
        <v>453</v>
      </c>
      <c r="C31" s="45" t="s">
        <v>454</v>
      </c>
      <c r="D31" s="45" t="s">
        <v>455</v>
      </c>
      <c r="E31" s="45" t="s">
        <v>456</v>
      </c>
      <c r="F31" s="45" t="s">
        <v>457</v>
      </c>
      <c r="G31" s="45" t="s">
        <v>458</v>
      </c>
      <c r="H31" s="45" t="s">
        <v>459</v>
      </c>
      <c r="I31" s="45" t="s">
        <v>460</v>
      </c>
      <c r="J31" s="46" t="s">
        <v>461</v>
      </c>
      <c r="K31" s="33"/>
      <c r="L31" s="33"/>
      <c r="M31" s="33"/>
    </row>
    <row r="32" customFormat="false" ht="15" hidden="false" customHeight="true" outlineLevel="0" collapsed="false">
      <c r="A32" s="48" t="s">
        <v>462</v>
      </c>
      <c r="B32" s="73" t="n">
        <f aca="false">G17</f>
        <v>8369.27152004681</v>
      </c>
      <c r="C32" s="73" t="n">
        <f aca="false">G18</f>
        <v>9996.021557168</v>
      </c>
      <c r="D32" s="73" t="n">
        <f aca="false">G19</f>
        <v>10620.2401428963</v>
      </c>
      <c r="E32" s="73" t="n">
        <f aca="false">G25</f>
        <v>10967.7874569155</v>
      </c>
      <c r="F32" s="73" t="n">
        <f aca="false">G26</f>
        <v>11969.3669024733</v>
      </c>
      <c r="G32" s="73" t="n">
        <f aca="false">G27</f>
        <v>13444.727993062</v>
      </c>
      <c r="H32" s="73" t="n">
        <f aca="false">AVERAGE(B32,E32)</f>
        <v>9668.52948848115</v>
      </c>
      <c r="I32" s="73" t="n">
        <f aca="false">AVERAGE(C32,F32)</f>
        <v>10982.6942298206</v>
      </c>
      <c r="J32" s="161" t="n">
        <f aca="false">AVERAGE(D32,G32)</f>
        <v>12032.4840679792</v>
      </c>
      <c r="K32" s="33"/>
      <c r="L32" s="33"/>
      <c r="M32" s="33"/>
    </row>
    <row r="33" customFormat="false" ht="15" hidden="false" customHeight="true" outlineLevel="0" collapsed="false">
      <c r="A33" s="52" t="s">
        <v>227</v>
      </c>
      <c r="B33" s="62" t="n">
        <f aca="false">H17</f>
        <v>5036.27152004681</v>
      </c>
      <c r="C33" s="62" t="n">
        <f aca="false">H18</f>
        <v>6663.021557168</v>
      </c>
      <c r="D33" s="62" t="n">
        <f aca="false">H19</f>
        <v>7287.24014289634</v>
      </c>
      <c r="E33" s="62" t="n">
        <f aca="false">H25</f>
        <v>7634.78745691548</v>
      </c>
      <c r="F33" s="62" t="n">
        <f aca="false">H26</f>
        <v>8636.36690247328</v>
      </c>
      <c r="G33" s="62" t="n">
        <f aca="false">H27</f>
        <v>10111.727993062</v>
      </c>
      <c r="H33" s="62" t="n">
        <f aca="false">AVERAGE(B33,E33)</f>
        <v>6335.52948848115</v>
      </c>
      <c r="I33" s="62" t="n">
        <f aca="false">AVERAGE(C33,F33)</f>
        <v>7649.69422982064</v>
      </c>
      <c r="J33" s="162" t="n">
        <f aca="false">AVERAGE(D33,G33)</f>
        <v>8699.48406797918</v>
      </c>
      <c r="K33" s="33"/>
      <c r="L33" s="33"/>
      <c r="M33" s="33"/>
    </row>
    <row r="34" customFormat="false" ht="15" hidden="false" customHeight="true" outlineLevel="0" collapsed="false">
      <c r="A34" s="52" t="s">
        <v>442</v>
      </c>
      <c r="B34" s="60" t="n">
        <f aca="false">I17</f>
        <v>102.726621265033</v>
      </c>
      <c r="C34" s="60" t="n">
        <f aca="false">I18</f>
        <v>135.908020300221</v>
      </c>
      <c r="D34" s="60" t="n">
        <f aca="false">I19</f>
        <v>148.64042878683</v>
      </c>
      <c r="E34" s="60" t="n">
        <f aca="false">I25</f>
        <v>155.729474950606</v>
      </c>
      <c r="F34" s="60" t="n">
        <f aca="false">I26</f>
        <v>176.159047097602</v>
      </c>
      <c r="G34" s="60" t="n">
        <f aca="false">I27</f>
        <v>206.252511951274</v>
      </c>
      <c r="H34" s="60" t="n">
        <f aca="false">AVERAGE(B34,E34)</f>
        <v>129.22804810782</v>
      </c>
      <c r="I34" s="60" t="n">
        <f aca="false">AVERAGE(C34,F34)</f>
        <v>156.033533698912</v>
      </c>
      <c r="J34" s="163" t="n">
        <f aca="false">AVERAGE(D34,G34)</f>
        <v>177.446470369052</v>
      </c>
      <c r="K34" s="33"/>
      <c r="L34" s="33"/>
      <c r="M34" s="33"/>
    </row>
    <row r="35" customFormat="false" ht="15" hidden="false" customHeight="true" outlineLevel="0" collapsed="false">
      <c r="A35" s="52" t="s">
        <v>44</v>
      </c>
      <c r="B35" s="61" t="n">
        <f aca="false">B34/$B$10-1</f>
        <v>-0.401534394028354</v>
      </c>
      <c r="C35" s="61" t="n">
        <f aca="false">C34/$B$10-1</f>
        <v>-0.208225923098042</v>
      </c>
      <c r="D35" s="61" t="n">
        <f aca="false">D34/$B$10-1</f>
        <v>-0.13404935166426</v>
      </c>
      <c r="E35" s="61" t="n">
        <f aca="false">E34/$B$10-1</f>
        <v>-0.0927499274651553</v>
      </c>
      <c r="F35" s="61" t="n">
        <f aca="false">F34/$B$10-1</f>
        <v>0.0262688441456582</v>
      </c>
      <c r="G35" s="61" t="n">
        <f aca="false">G34/$B$10-1</f>
        <v>0.201587602396001</v>
      </c>
      <c r="H35" s="61" t="n">
        <f aca="false">AVERAGE(B35,E35)</f>
        <v>-0.247142160746755</v>
      </c>
      <c r="I35" s="61" t="n">
        <f aca="false">AVERAGE(C35,F35)</f>
        <v>-0.0909785394761917</v>
      </c>
      <c r="J35" s="142" t="n">
        <f aca="false">AVERAGE(D35,G35)</f>
        <v>0.0337691253658707</v>
      </c>
      <c r="K35" s="33"/>
      <c r="L35" s="33"/>
      <c r="M35" s="33"/>
    </row>
    <row r="36" customFormat="false" ht="15" hidden="false" customHeight="true" outlineLevel="0" collapsed="false">
      <c r="A36" s="76" t="s">
        <v>46</v>
      </c>
      <c r="B36" s="164" t="n">
        <f aca="false">B34/$B$11-1</f>
        <v>-0.510825613023652</v>
      </c>
      <c r="C36" s="164" t="n">
        <f aca="false">C34/$B$11-1</f>
        <v>-0.352818950951328</v>
      </c>
      <c r="D36" s="164" t="n">
        <f aca="false">D34/$B$11-1</f>
        <v>-0.29218843434843</v>
      </c>
      <c r="E36" s="164" t="n">
        <f aca="false">E34/$B$11-1</f>
        <v>-0.258431071663781</v>
      </c>
      <c r="F36" s="164" t="n">
        <f aca="false">F34/$B$11-1</f>
        <v>-0.161147394773323</v>
      </c>
      <c r="G36" s="164" t="n">
        <f aca="false">G34/$B$11-1</f>
        <v>-0.0178451811844114</v>
      </c>
      <c r="H36" s="164" t="n">
        <f aca="false">AVERAGE(B36,E36)</f>
        <v>-0.384628342343716</v>
      </c>
      <c r="I36" s="164" t="n">
        <f aca="false">AVERAGE(C36,F36)</f>
        <v>-0.256983172862325</v>
      </c>
      <c r="J36" s="148" t="n">
        <f aca="false">AVERAGE(D36,G36)</f>
        <v>-0.15501680776642</v>
      </c>
      <c r="K36" s="33"/>
      <c r="L36" s="33"/>
      <c r="M36" s="33"/>
    </row>
    <row r="37" customFormat="false" ht="15" hidden="false" customHeight="true" outlineLevel="0" collapsed="false">
      <c r="A37" s="33"/>
      <c r="B37" s="33"/>
      <c r="C37" s="33"/>
      <c r="D37" s="33"/>
      <c r="E37" s="33"/>
      <c r="F37" s="33"/>
      <c r="G37" s="33"/>
      <c r="H37" s="33"/>
      <c r="I37" s="33"/>
      <c r="J37" s="33"/>
      <c r="K37" s="33"/>
      <c r="L37" s="33"/>
      <c r="M37" s="33"/>
    </row>
    <row r="38" customFormat="false" ht="15" hidden="false" customHeight="true" outlineLevel="0" collapsed="false">
      <c r="A38" s="33"/>
      <c r="B38" s="33"/>
      <c r="C38" s="33"/>
      <c r="D38" s="33"/>
      <c r="E38" s="33"/>
      <c r="F38" s="33"/>
      <c r="G38" s="33"/>
      <c r="H38" s="33"/>
      <c r="I38" s="33"/>
      <c r="J38" s="33"/>
      <c r="K38" s="33"/>
      <c r="L38" s="33"/>
      <c r="M38" s="33"/>
    </row>
    <row r="39" customFormat="false" ht="24" hidden="false" customHeight="true" outlineLevel="0" collapsed="false">
      <c r="A39" s="45" t="s">
        <v>463</v>
      </c>
      <c r="B39" s="45" t="s">
        <v>4</v>
      </c>
      <c r="C39" s="45" t="s">
        <v>184</v>
      </c>
      <c r="D39" s="45" t="s">
        <v>464</v>
      </c>
      <c r="E39" s="45"/>
      <c r="F39" s="45"/>
      <c r="G39" s="33"/>
      <c r="H39" s="33"/>
      <c r="I39" s="33"/>
      <c r="J39" s="33"/>
      <c r="K39" s="33"/>
      <c r="L39" s="33"/>
      <c r="M39" s="33"/>
    </row>
    <row r="40" customFormat="false" ht="45.75" hidden="false" customHeight="true" outlineLevel="0" collapsed="false">
      <c r="A40" s="165" t="s">
        <v>465</v>
      </c>
      <c r="B40" s="166" t="n">
        <f aca="false">I34</f>
        <v>156.033533698912</v>
      </c>
      <c r="C40" s="165" t="s">
        <v>466</v>
      </c>
      <c r="D40" s="165" t="s">
        <v>467</v>
      </c>
      <c r="E40" s="165"/>
      <c r="F40" s="165"/>
      <c r="G40" s="33"/>
      <c r="H40" s="33"/>
      <c r="I40" s="33"/>
      <c r="J40" s="33"/>
      <c r="K40" s="33"/>
      <c r="L40" s="33"/>
      <c r="M40" s="33"/>
    </row>
    <row r="41" customFormat="false" ht="23.85" hidden="false" customHeight="true" outlineLevel="0" collapsed="false">
      <c r="A41" s="113" t="s">
        <v>44</v>
      </c>
      <c r="B41" s="167" t="n">
        <f aca="false">B40/$B$10-1</f>
        <v>-0.0909785394761917</v>
      </c>
      <c r="C41" s="113" t="s">
        <v>468</v>
      </c>
      <c r="D41" s="113" t="s">
        <v>469</v>
      </c>
      <c r="E41" s="113"/>
      <c r="F41" s="113"/>
      <c r="G41" s="33"/>
      <c r="H41" s="33"/>
      <c r="I41" s="33"/>
      <c r="J41" s="33"/>
      <c r="K41" s="33"/>
      <c r="L41" s="33"/>
      <c r="M41" s="33"/>
    </row>
    <row r="42" customFormat="false" ht="23.85" hidden="false" customHeight="true" outlineLevel="0" collapsed="false">
      <c r="A42" s="113" t="s">
        <v>46</v>
      </c>
      <c r="B42" s="167" t="n">
        <f aca="false">B40/$B$11-1</f>
        <v>-0.256983172862325</v>
      </c>
      <c r="C42" s="113" t="s">
        <v>470</v>
      </c>
      <c r="D42" s="113" t="s">
        <v>469</v>
      </c>
      <c r="E42" s="113"/>
      <c r="F42" s="113"/>
      <c r="G42" s="33"/>
      <c r="H42" s="33"/>
      <c r="I42" s="33"/>
      <c r="J42" s="33"/>
      <c r="K42" s="33"/>
      <c r="L42" s="33"/>
      <c r="M42" s="33"/>
    </row>
    <row r="43" customFormat="false" ht="15" hidden="false" customHeight="true" outlineLevel="0" collapsed="false">
      <c r="A43" s="33"/>
      <c r="B43" s="33"/>
      <c r="C43" s="33"/>
      <c r="D43" s="33"/>
      <c r="E43" s="33"/>
      <c r="F43" s="33"/>
      <c r="G43" s="33"/>
      <c r="H43" s="33"/>
      <c r="I43" s="33"/>
      <c r="J43" s="33"/>
      <c r="K43" s="33"/>
      <c r="L43" s="33"/>
      <c r="M43" s="33"/>
    </row>
    <row r="44" customFormat="false" ht="15" hidden="false" customHeight="true" outlineLevel="0" collapsed="false">
      <c r="A44" s="33"/>
      <c r="B44" s="33"/>
      <c r="C44" s="33"/>
      <c r="D44" s="33"/>
      <c r="E44" s="33"/>
      <c r="F44" s="33"/>
      <c r="G44" s="33"/>
      <c r="H44" s="33"/>
      <c r="I44" s="33"/>
      <c r="J44" s="33"/>
      <c r="K44" s="33"/>
      <c r="L44" s="33"/>
      <c r="M44" s="33"/>
    </row>
    <row r="45" customFormat="false" ht="15" hidden="false" customHeight="true" outlineLevel="0" collapsed="false">
      <c r="A45" s="63" t="s">
        <v>471</v>
      </c>
      <c r="B45" s="63"/>
      <c r="C45" s="63"/>
      <c r="D45" s="63"/>
      <c r="E45" s="63"/>
      <c r="F45" s="63"/>
      <c r="G45" s="63"/>
      <c r="H45" s="63"/>
      <c r="I45" s="63"/>
      <c r="J45" s="63"/>
      <c r="K45" s="63"/>
      <c r="L45" s="63"/>
      <c r="M45" s="63"/>
    </row>
    <row r="46" customFormat="false" ht="15" hidden="false" customHeight="true" outlineLevel="0" collapsed="false">
      <c r="A46" s="63"/>
      <c r="B46" s="63"/>
      <c r="C46" s="63"/>
      <c r="D46" s="63"/>
      <c r="E46" s="63"/>
      <c r="F46" s="63"/>
      <c r="G46" s="63"/>
      <c r="H46" s="63"/>
      <c r="I46" s="63"/>
      <c r="J46" s="63"/>
      <c r="K46" s="63"/>
      <c r="L46" s="63"/>
      <c r="M46" s="63"/>
    </row>
    <row r="47" customFormat="false" ht="15" hidden="false" customHeight="true" outlineLevel="0" collapsed="false">
      <c r="A47" s="63"/>
      <c r="B47" s="63"/>
      <c r="C47" s="63"/>
      <c r="D47" s="63"/>
      <c r="E47" s="63"/>
      <c r="F47" s="63"/>
      <c r="G47" s="63"/>
      <c r="H47" s="63"/>
      <c r="I47" s="63"/>
      <c r="J47" s="63"/>
      <c r="K47" s="63"/>
      <c r="L47" s="63"/>
      <c r="M47" s="63"/>
    </row>
  </sheetData>
  <mergeCells count="11">
    <mergeCell ref="A1:M1"/>
    <mergeCell ref="A2:M2"/>
    <mergeCell ref="A4:D4"/>
    <mergeCell ref="A14:M14"/>
    <mergeCell ref="A22:M22"/>
    <mergeCell ref="A30:J30"/>
    <mergeCell ref="D39:F39"/>
    <mergeCell ref="D40:F40"/>
    <mergeCell ref="D41:F41"/>
    <mergeCell ref="D42:F42"/>
    <mergeCell ref="A45:M4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0390625" defaultRowHeight="14.4" customHeight="false" zeroHeight="false" outlineLevelRow="0" outlineLevelCol="0"/>
  <cols>
    <col collapsed="false" customWidth="true" hidden="false" outlineLevel="0" max="1" min="1" style="0" width="22"/>
    <col collapsed="false" customWidth="true" hidden="false" outlineLevel="0" max="7" min="2" style="0" width="12"/>
    <col collapsed="false" customWidth="true" hidden="false" outlineLevel="0" max="8" min="8" style="0" width="4"/>
    <col collapsed="false" customWidth="true" hidden="false" outlineLevel="0" max="9" min="9" style="0" width="22"/>
  </cols>
  <sheetData>
    <row r="1" customFormat="false" ht="25.5" hidden="false" customHeight="true" outlineLevel="0" collapsed="false">
      <c r="A1" s="1" t="s">
        <v>472</v>
      </c>
      <c r="B1" s="1"/>
      <c r="C1" s="1"/>
      <c r="D1" s="1"/>
      <c r="E1" s="1"/>
      <c r="F1" s="1"/>
      <c r="G1" s="1"/>
      <c r="H1" s="1"/>
      <c r="I1" s="1"/>
    </row>
    <row r="2" customFormat="false" ht="18" hidden="false" customHeight="true" outlineLevel="0" collapsed="false">
      <c r="A2" s="2" t="s">
        <v>473</v>
      </c>
      <c r="B2" s="2"/>
      <c r="C2" s="2"/>
      <c r="D2" s="2"/>
      <c r="E2" s="2"/>
      <c r="F2" s="2"/>
      <c r="G2" s="2"/>
      <c r="H2" s="2"/>
      <c r="I2" s="2"/>
    </row>
    <row r="3" customFormat="false" ht="14.4" hidden="false" customHeight="false" outlineLevel="0" collapsed="false">
      <c r="A3" s="3"/>
      <c r="B3" s="3"/>
      <c r="C3" s="3"/>
      <c r="D3" s="3"/>
      <c r="E3" s="3"/>
      <c r="F3" s="3"/>
    </row>
    <row r="4" customFormat="false" ht="19.5" hidden="false" customHeight="true" outlineLevel="0" collapsed="false">
      <c r="A4" s="4" t="s">
        <v>474</v>
      </c>
      <c r="B4" s="4"/>
      <c r="C4" s="4"/>
      <c r="D4" s="4"/>
      <c r="E4" s="4"/>
      <c r="F4" s="4"/>
      <c r="G4" s="4"/>
      <c r="H4" s="4"/>
      <c r="I4" s="4"/>
    </row>
    <row r="5" customFormat="false" ht="24" hidden="false" customHeight="true" outlineLevel="0" collapsed="false">
      <c r="A5" s="32" t="s">
        <v>430</v>
      </c>
      <c r="B5" s="32" t="s">
        <v>4</v>
      </c>
      <c r="C5" s="32" t="s">
        <v>431</v>
      </c>
      <c r="D5" s="3"/>
      <c r="E5" s="3"/>
      <c r="F5" s="3"/>
    </row>
    <row r="6" customFormat="false" ht="23.85" hidden="false" customHeight="false" outlineLevel="0" collapsed="false">
      <c r="A6" s="33" t="s">
        <v>432</v>
      </c>
      <c r="B6" s="95" t="n">
        <f aca="false">'PTA Valuation'!B6</f>
        <v>4160.3</v>
      </c>
      <c r="C6" s="33" t="s">
        <v>475</v>
      </c>
      <c r="D6" s="3"/>
      <c r="E6" s="3"/>
      <c r="F6" s="3"/>
    </row>
    <row r="7" customFormat="false" ht="23.85" hidden="false" customHeight="false" outlineLevel="0" collapsed="false">
      <c r="A7" s="33" t="s">
        <v>433</v>
      </c>
      <c r="B7" s="95" t="n">
        <f aca="false">'PTA Valuation'!B7</f>
        <v>1013.8</v>
      </c>
      <c r="C7" s="33" t="s">
        <v>475</v>
      </c>
      <c r="D7" s="3"/>
      <c r="E7" s="3"/>
      <c r="F7" s="3"/>
    </row>
    <row r="8" customFormat="false" ht="23.85" hidden="false" customHeight="false" outlineLevel="0" collapsed="false">
      <c r="A8" s="33" t="s">
        <v>435</v>
      </c>
      <c r="B8" s="95" t="n">
        <f aca="false">'PTA Valuation'!B8</f>
        <v>3333</v>
      </c>
      <c r="C8" s="33" t="s">
        <v>475</v>
      </c>
      <c r="D8" s="3"/>
      <c r="E8" s="3"/>
      <c r="F8" s="3"/>
    </row>
    <row r="9" customFormat="false" ht="23.85" hidden="false" customHeight="false" outlineLevel="0" collapsed="false">
      <c r="A9" s="33" t="s">
        <v>175</v>
      </c>
      <c r="B9" s="95" t="n">
        <f aca="false">'PTA Valuation'!B9</f>
        <v>49.0259628714286</v>
      </c>
      <c r="C9" s="33" t="s">
        <v>475</v>
      </c>
      <c r="D9" s="3"/>
      <c r="E9" s="3"/>
      <c r="F9" s="3"/>
    </row>
    <row r="10" customFormat="false" ht="23.85" hidden="false" customHeight="false" outlineLevel="0" collapsed="false">
      <c r="A10" s="33" t="s">
        <v>15</v>
      </c>
      <c r="B10" s="37" t="n">
        <f aca="false">'PTA Valuation'!B11</f>
        <v>210</v>
      </c>
      <c r="C10" s="33" t="s">
        <v>476</v>
      </c>
      <c r="D10" s="3"/>
      <c r="E10" s="3"/>
      <c r="F10" s="3"/>
    </row>
    <row r="11" customFormat="false" ht="14.4" hidden="false" customHeight="false" outlineLevel="0" collapsed="false">
      <c r="A11" s="3"/>
      <c r="B11" s="3"/>
      <c r="C11" s="3"/>
      <c r="D11" s="3"/>
      <c r="E11" s="3"/>
      <c r="F11" s="3"/>
    </row>
    <row r="12" customFormat="false" ht="19.5" hidden="false" customHeight="true" outlineLevel="0" collapsed="false">
      <c r="A12" s="4" t="s">
        <v>477</v>
      </c>
      <c r="B12" s="4"/>
      <c r="C12" s="4"/>
      <c r="D12" s="4"/>
      <c r="E12" s="4"/>
      <c r="F12" s="4"/>
      <c r="G12" s="4"/>
      <c r="H12" s="4"/>
      <c r="I12" s="4"/>
    </row>
    <row r="13" customFormat="false" ht="14.4" hidden="false" customHeight="false" outlineLevel="0" collapsed="false">
      <c r="A13" s="168" t="s">
        <v>446</v>
      </c>
      <c r="B13" s="3"/>
      <c r="C13" s="3"/>
      <c r="D13" s="3"/>
      <c r="E13" s="3"/>
      <c r="F13" s="169" t="n">
        <f aca="false">'Transaction Multiples'!B30</f>
        <v>2.40271652456986</v>
      </c>
    </row>
    <row r="14" customFormat="false" ht="24" hidden="false" customHeight="true" outlineLevel="0" collapsed="false">
      <c r="A14" s="32" t="s">
        <v>478</v>
      </c>
      <c r="B14" s="32" t="s">
        <v>229</v>
      </c>
      <c r="C14" s="32" t="s">
        <v>227</v>
      </c>
      <c r="D14" s="32" t="s">
        <v>442</v>
      </c>
      <c r="E14" s="32" t="s">
        <v>46</v>
      </c>
      <c r="F14" s="20" t="s">
        <v>479</v>
      </c>
    </row>
    <row r="15" customFormat="false" ht="14.4" hidden="false" customHeight="false" outlineLevel="0" collapsed="false">
      <c r="A15" s="40" t="n">
        <f aca="false">$F$13+(-0.5)</f>
        <v>1.90271652456986</v>
      </c>
      <c r="B15" s="170" t="n">
        <f aca="false">$B$6*A15</f>
        <v>7915.871557168</v>
      </c>
      <c r="C15" s="170" t="n">
        <f aca="false">B15-$B$8</f>
        <v>4582.871557168</v>
      </c>
      <c r="D15" s="34" t="n">
        <f aca="false">C15/$B$9</f>
        <v>93.4784609776388</v>
      </c>
      <c r="E15" s="41" t="n">
        <f aca="false">D15/$B$10-1</f>
        <v>-0.554864471535054</v>
      </c>
      <c r="F15" s="3" t="s">
        <v>480</v>
      </c>
    </row>
    <row r="16" customFormat="false" ht="14.4" hidden="false" customHeight="false" outlineLevel="0" collapsed="false">
      <c r="A16" s="40" t="n">
        <f aca="false">$F$13+(-0.25)</f>
        <v>2.15271652456986</v>
      </c>
      <c r="B16" s="170" t="n">
        <f aca="false">$B$6*A16</f>
        <v>8955.946557168</v>
      </c>
      <c r="C16" s="170" t="n">
        <f aca="false">B16-$B$8</f>
        <v>5622.946557168</v>
      </c>
      <c r="D16" s="34" t="n">
        <f aca="false">C16/$B$9</f>
        <v>114.69324063893</v>
      </c>
      <c r="E16" s="41" t="n">
        <f aca="false">D16/$B$10-1</f>
        <v>-0.453841711243191</v>
      </c>
      <c r="F16" s="3" t="s">
        <v>480</v>
      </c>
    </row>
    <row r="17" customFormat="false" ht="14.4" hidden="false" customHeight="false" outlineLevel="0" collapsed="false">
      <c r="A17" s="171" t="n">
        <f aca="false">$F$13+(0)</f>
        <v>2.40271652456986</v>
      </c>
      <c r="B17" s="172" t="n">
        <f aca="false">$B$6*A17</f>
        <v>9996.021557168</v>
      </c>
      <c r="C17" s="172" t="n">
        <f aca="false">B17-$B$8</f>
        <v>6663.021557168</v>
      </c>
      <c r="D17" s="173" t="n">
        <f aca="false">C17/$B$9</f>
        <v>135.908020300221</v>
      </c>
      <c r="E17" s="174" t="n">
        <f aca="false">D17/$B$10-1</f>
        <v>-0.352818950951328</v>
      </c>
      <c r="F17" s="175" t="s">
        <v>481</v>
      </c>
    </row>
    <row r="18" customFormat="false" ht="14.4" hidden="false" customHeight="false" outlineLevel="0" collapsed="false">
      <c r="A18" s="40" t="n">
        <f aca="false">$F$13+(0.25)</f>
        <v>2.65271652456986</v>
      </c>
      <c r="B18" s="170" t="n">
        <f aca="false">$B$6*A18</f>
        <v>11036.096557168</v>
      </c>
      <c r="C18" s="170" t="n">
        <f aca="false">B18-$B$8</f>
        <v>7703.096557168</v>
      </c>
      <c r="D18" s="34" t="n">
        <f aca="false">C18/$B$9</f>
        <v>157.122799961512</v>
      </c>
      <c r="E18" s="41" t="n">
        <f aca="false">D18/$B$10-1</f>
        <v>-0.251796190659465</v>
      </c>
      <c r="F18" s="3" t="s">
        <v>482</v>
      </c>
    </row>
    <row r="19" customFormat="false" ht="14.4" hidden="false" customHeight="false" outlineLevel="0" collapsed="false">
      <c r="A19" s="40" t="n">
        <f aca="false">$F$13+(0.5)</f>
        <v>2.90271652456986</v>
      </c>
      <c r="B19" s="170" t="n">
        <f aca="false">$B$6*A19</f>
        <v>12076.171557168</v>
      </c>
      <c r="C19" s="170" t="n">
        <f aca="false">B19-$B$8</f>
        <v>8743.171557168</v>
      </c>
      <c r="D19" s="34" t="n">
        <f aca="false">C19/$B$9</f>
        <v>178.337579622804</v>
      </c>
      <c r="E19" s="41" t="n">
        <f aca="false">D19/$B$10-1</f>
        <v>-0.150773430367602</v>
      </c>
      <c r="F19" s="3" t="s">
        <v>482</v>
      </c>
    </row>
    <row r="20" customFormat="false" ht="14.4" hidden="false" customHeight="false" outlineLevel="0" collapsed="false">
      <c r="A20" s="3"/>
      <c r="B20" s="3"/>
      <c r="C20" s="3"/>
      <c r="D20" s="3"/>
      <c r="E20" s="3"/>
      <c r="F20" s="3"/>
    </row>
    <row r="21" customFormat="false" ht="19.5" hidden="false" customHeight="true" outlineLevel="0" collapsed="false">
      <c r="A21" s="4" t="s">
        <v>483</v>
      </c>
      <c r="B21" s="4"/>
      <c r="C21" s="4"/>
      <c r="D21" s="4"/>
      <c r="E21" s="4"/>
      <c r="F21" s="4"/>
      <c r="G21" s="4"/>
      <c r="H21" s="4"/>
      <c r="I21" s="4"/>
    </row>
    <row r="22" customFormat="false" ht="14.4" hidden="false" customHeight="false" outlineLevel="0" collapsed="false">
      <c r="A22" s="168" t="s">
        <v>450</v>
      </c>
      <c r="B22" s="3"/>
      <c r="C22" s="3"/>
      <c r="D22" s="3"/>
      <c r="E22" s="3"/>
      <c r="F22" s="169" t="n">
        <f aca="false">'Transaction Multiples'!C30</f>
        <v>11.8064380572828</v>
      </c>
    </row>
    <row r="23" customFormat="false" ht="24" hidden="false" customHeight="true" outlineLevel="0" collapsed="false">
      <c r="A23" s="32" t="s">
        <v>478</v>
      </c>
      <c r="B23" s="32" t="s">
        <v>229</v>
      </c>
      <c r="C23" s="32" t="s">
        <v>227</v>
      </c>
      <c r="D23" s="32" t="s">
        <v>442</v>
      </c>
      <c r="E23" s="32" t="s">
        <v>46</v>
      </c>
      <c r="F23" s="20" t="s">
        <v>479</v>
      </c>
    </row>
    <row r="24" customFormat="false" ht="14.4" hidden="false" customHeight="false" outlineLevel="0" collapsed="false">
      <c r="A24" s="40" t="n">
        <f aca="false">$F$22+(-0.5)</f>
        <v>11.3064380572828</v>
      </c>
      <c r="B24" s="170" t="n">
        <f aca="false">$B$7*A24</f>
        <v>11462.4669024733</v>
      </c>
      <c r="C24" s="170" t="n">
        <f aca="false">B24-$B$8</f>
        <v>8129.46690247329</v>
      </c>
      <c r="D24" s="34" t="n">
        <f aca="false">C24/$B$9</f>
        <v>165.819627526602</v>
      </c>
      <c r="E24" s="41" t="n">
        <f aca="false">D24/$B$10-1</f>
        <v>-0.210382726063802</v>
      </c>
      <c r="F24" s="3" t="s">
        <v>480</v>
      </c>
    </row>
    <row r="25" customFormat="false" ht="14.4" hidden="false" customHeight="false" outlineLevel="0" collapsed="false">
      <c r="A25" s="40" t="n">
        <f aca="false">$F$22+(-0.25)</f>
        <v>11.5564380572828</v>
      </c>
      <c r="B25" s="170" t="n">
        <f aca="false">$B$7*A25</f>
        <v>11715.9169024733</v>
      </c>
      <c r="C25" s="170" t="n">
        <f aca="false">B25-$B$8</f>
        <v>8382.91690247329</v>
      </c>
      <c r="D25" s="34" t="n">
        <f aca="false">C25/$B$9</f>
        <v>170.989337312102</v>
      </c>
      <c r="E25" s="41" t="n">
        <f aca="false">D25/$B$10-1</f>
        <v>-0.185765060418562</v>
      </c>
      <c r="F25" s="3" t="s">
        <v>480</v>
      </c>
    </row>
    <row r="26" customFormat="false" ht="14.4" hidden="false" customHeight="false" outlineLevel="0" collapsed="false">
      <c r="A26" s="171" t="n">
        <f aca="false">$F$22+(0)</f>
        <v>11.8064380572828</v>
      </c>
      <c r="B26" s="172" t="n">
        <f aca="false">$B$7*A26</f>
        <v>11969.3669024733</v>
      </c>
      <c r="C26" s="172" t="n">
        <f aca="false">B26-$B$8</f>
        <v>8636.36690247328</v>
      </c>
      <c r="D26" s="173" t="n">
        <f aca="false">C26/$B$9</f>
        <v>176.159047097602</v>
      </c>
      <c r="E26" s="174" t="n">
        <f aca="false">D26/$B$10-1</f>
        <v>-0.161147394773323</v>
      </c>
      <c r="F26" s="175" t="s">
        <v>481</v>
      </c>
    </row>
    <row r="27" customFormat="false" ht="14.4" hidden="false" customHeight="false" outlineLevel="0" collapsed="false">
      <c r="A27" s="40" t="n">
        <f aca="false">$F$22+(0.25)</f>
        <v>12.0564380572828</v>
      </c>
      <c r="B27" s="170" t="n">
        <f aca="false">$B$7*A27</f>
        <v>12222.8169024733</v>
      </c>
      <c r="C27" s="170" t="n">
        <f aca="false">B27-$B$8</f>
        <v>8889.81690247329</v>
      </c>
      <c r="D27" s="34" t="n">
        <f aca="false">C27/$B$9</f>
        <v>181.328756883103</v>
      </c>
      <c r="E27" s="41" t="n">
        <f aca="false">D27/$B$10-1</f>
        <v>-0.136529729128083</v>
      </c>
      <c r="F27" s="3" t="s">
        <v>482</v>
      </c>
    </row>
    <row r="28" customFormat="false" ht="14.4" hidden="false" customHeight="false" outlineLevel="0" collapsed="false">
      <c r="A28" s="40" t="n">
        <f aca="false">$F$22+(0.5)</f>
        <v>12.3064380572828</v>
      </c>
      <c r="B28" s="170" t="n">
        <f aca="false">$B$7*A28</f>
        <v>12476.2669024733</v>
      </c>
      <c r="C28" s="170" t="n">
        <f aca="false">B28-$B$8</f>
        <v>9143.26690247328</v>
      </c>
      <c r="D28" s="34" t="n">
        <f aca="false">C28/$B$9</f>
        <v>186.498466668603</v>
      </c>
      <c r="E28" s="41" t="n">
        <f aca="false">D28/$B$10-1</f>
        <v>-0.111912063482843</v>
      </c>
      <c r="F28" s="3" t="s">
        <v>482</v>
      </c>
    </row>
    <row r="29" customFormat="false" ht="14.4" hidden="false" customHeight="false" outlineLevel="0" collapsed="false">
      <c r="A29" s="3"/>
      <c r="B29" s="3"/>
      <c r="C29" s="3"/>
      <c r="D29" s="3"/>
      <c r="E29" s="3"/>
      <c r="F29" s="3"/>
    </row>
    <row r="30" customFormat="false" ht="19.5" hidden="false" customHeight="true" outlineLevel="0" collapsed="false">
      <c r="A30" s="4" t="s">
        <v>484</v>
      </c>
      <c r="B30" s="4"/>
      <c r="C30" s="4"/>
      <c r="D30" s="4"/>
      <c r="E30" s="4"/>
      <c r="F30" s="4"/>
      <c r="G30" s="4"/>
      <c r="H30" s="4"/>
      <c r="I30" s="4"/>
    </row>
    <row r="31" customFormat="false" ht="14" hidden="false" customHeight="true" outlineLevel="0" collapsed="false">
      <c r="A31" s="176" t="s">
        <v>485</v>
      </c>
      <c r="B31" s="176"/>
      <c r="C31" s="176"/>
      <c r="D31" s="176"/>
      <c r="E31" s="176"/>
      <c r="F31" s="176"/>
      <c r="G31" s="176"/>
      <c r="H31" s="176"/>
      <c r="I31" s="176"/>
    </row>
    <row r="32" customFormat="false" ht="14.4" hidden="false" customHeight="false" outlineLevel="0" collapsed="false">
      <c r="A32" s="177" t="s">
        <v>486</v>
      </c>
      <c r="B32" s="178" t="n">
        <f aca="false">$F$13+(-0.5)</f>
        <v>1.90271652456986</v>
      </c>
      <c r="C32" s="178" t="n">
        <f aca="false">$F$13+(-0.25)</f>
        <v>2.15271652456986</v>
      </c>
      <c r="D32" s="178" t="n">
        <f aca="false">$F$13+(0)</f>
        <v>2.40271652456986</v>
      </c>
      <c r="E32" s="178" t="n">
        <f aca="false">$F$13+(0.25)</f>
        <v>2.65271652456986</v>
      </c>
      <c r="F32" s="178" t="n">
        <f aca="false">$F$13+(0.5)</f>
        <v>2.90271652456986</v>
      </c>
    </row>
    <row r="33" customFormat="false" ht="14.4" hidden="false" customHeight="false" outlineLevel="0" collapsed="false">
      <c r="A33" s="178" t="n">
        <f aca="false">$F$22+(-0.5)</f>
        <v>11.3064380572828</v>
      </c>
      <c r="B33" s="34" t="n">
        <f aca="false">AVERAGE(((($B$6*($F$13+(-0.5)))-$B$8)/$B$9),((($B$7*($F$22+(-0.5)))-$B$8)/$B$9))</f>
        <v>129.64904425212</v>
      </c>
      <c r="C33" s="34" t="n">
        <f aca="false">AVERAGE(((($B$6*($F$13+(-0.25)))-$B$8)/$B$9),((($B$7*($F$22+(-0.5)))-$B$8)/$B$9))</f>
        <v>140.256434082766</v>
      </c>
      <c r="D33" s="34" t="n">
        <f aca="false">AVERAGE(((($B$6*($F$13+(0)))-$B$8)/$B$9),((($B$7*($F$22+(-0.5)))-$B$8)/$B$9))</f>
        <v>150.863823913411</v>
      </c>
      <c r="E33" s="34" t="n">
        <f aca="false">AVERAGE(((($B$6*($F$13+(0.25)))-$B$8)/$B$9),((($B$7*($F$22+(-0.5)))-$B$8)/$B$9))</f>
        <v>161.471213744057</v>
      </c>
      <c r="F33" s="34" t="n">
        <f aca="false">AVERAGE(((($B$6*($F$13+(0.5)))-$B$8)/$B$9),((($B$7*($F$22+(-0.5)))-$B$8)/$B$9))</f>
        <v>172.078603574703</v>
      </c>
    </row>
    <row r="34" customFormat="false" ht="14.4" hidden="false" customHeight="false" outlineLevel="0" collapsed="false">
      <c r="A34" s="178" t="n">
        <f aca="false">$F$22+(-0.25)</f>
        <v>11.5564380572828</v>
      </c>
      <c r="B34" s="34" t="n">
        <f aca="false">AVERAGE(((($B$6*($F$13+(-0.5)))-$B$8)/$B$9),((($B$7*($F$22+(-0.25)))-$B$8)/$B$9))</f>
        <v>132.23389914487</v>
      </c>
      <c r="C34" s="34" t="n">
        <f aca="false">AVERAGE(((($B$6*($F$13+(-0.25)))-$B$8)/$B$9),((($B$7*($F$22+(-0.25)))-$B$8)/$B$9))</f>
        <v>142.841288975516</v>
      </c>
      <c r="D34" s="34" t="n">
        <f aca="false">AVERAGE(((($B$6*($F$13+(0)))-$B$8)/$B$9),((($B$7*($F$22+(-0.25)))-$B$8)/$B$9))</f>
        <v>153.448678806162</v>
      </c>
      <c r="E34" s="34" t="n">
        <f aca="false">AVERAGE(((($B$6*($F$13+(0.25)))-$B$8)/$B$9),((($B$7*($F$22+(-0.25)))-$B$8)/$B$9))</f>
        <v>164.056068636807</v>
      </c>
      <c r="F34" s="34" t="n">
        <f aca="false">AVERAGE(((($B$6*($F$13+(0.5)))-$B$8)/$B$9),((($B$7*($F$22+(-0.25)))-$B$8)/$B$9))</f>
        <v>174.663458467453</v>
      </c>
    </row>
    <row r="35" customFormat="false" ht="14.4" hidden="false" customHeight="false" outlineLevel="0" collapsed="false">
      <c r="A35" s="178" t="n">
        <f aca="false">$F$22+(0)</f>
        <v>11.8064380572828</v>
      </c>
      <c r="B35" s="34" t="n">
        <f aca="false">AVERAGE(((($B$6*($F$13+(-0.5)))-$B$8)/$B$9),((($B$7*($F$22+(0)))-$B$8)/$B$9))</f>
        <v>134.818754037621</v>
      </c>
      <c r="C35" s="34" t="n">
        <f aca="false">AVERAGE(((($B$6*($F$13+(-0.25)))-$B$8)/$B$9),((($B$7*($F$22+(0)))-$B$8)/$B$9))</f>
        <v>145.426143868266</v>
      </c>
      <c r="D35" s="179" t="n">
        <f aca="false">AVERAGE(((($B$6*($F$13+(0)))-$B$8)/$B$9),((($B$7*($F$22+(0)))-$B$8)/$B$9))</f>
        <v>156.033533698912</v>
      </c>
      <c r="E35" s="34" t="n">
        <f aca="false">AVERAGE(((($B$6*($F$13+(0.25)))-$B$8)/$B$9),((($B$7*($F$22+(0)))-$B$8)/$B$9))</f>
        <v>166.640923529557</v>
      </c>
      <c r="F35" s="34" t="n">
        <f aca="false">AVERAGE(((($B$6*($F$13+(0.5)))-$B$8)/$B$9),((($B$7*($F$22+(0)))-$B$8)/$B$9))</f>
        <v>177.248313360203</v>
      </c>
    </row>
    <row r="36" customFormat="false" ht="14.4" hidden="false" customHeight="false" outlineLevel="0" collapsed="false">
      <c r="A36" s="178" t="n">
        <f aca="false">$F$22+(0.25)</f>
        <v>12.0564380572828</v>
      </c>
      <c r="B36" s="34" t="n">
        <f aca="false">AVERAGE(((($B$6*($F$13+(-0.5)))-$B$8)/$B$9),((($B$7*($F$22+(0.25)))-$B$8)/$B$9))</f>
        <v>137.403608930371</v>
      </c>
      <c r="C36" s="34" t="n">
        <f aca="false">AVERAGE(((($B$6*($F$13+(-0.25)))-$B$8)/$B$9),((($B$7*($F$22+(0.25)))-$B$8)/$B$9))</f>
        <v>148.010998761016</v>
      </c>
      <c r="D36" s="34" t="n">
        <f aca="false">AVERAGE(((($B$6*($F$13+(0)))-$B$8)/$B$9),((($B$7*($F$22+(0.25)))-$B$8)/$B$9))</f>
        <v>158.618388591662</v>
      </c>
      <c r="E36" s="34" t="n">
        <f aca="false">AVERAGE(((($B$6*($F$13+(0.25)))-$B$8)/$B$9),((($B$7*($F$22+(0.25)))-$B$8)/$B$9))</f>
        <v>169.225778422307</v>
      </c>
      <c r="F36" s="34" t="n">
        <f aca="false">AVERAGE(((($B$6*($F$13+(0.5)))-$B$8)/$B$9),((($B$7*($F$22+(0.25)))-$B$8)/$B$9))</f>
        <v>179.833168252953</v>
      </c>
    </row>
    <row r="37" customFormat="false" ht="14.4" hidden="false" customHeight="false" outlineLevel="0" collapsed="false">
      <c r="A37" s="178" t="n">
        <f aca="false">$F$22+(0.5)</f>
        <v>12.3064380572828</v>
      </c>
      <c r="B37" s="34" t="n">
        <f aca="false">AVERAGE(((($B$6*($F$13+(-0.5)))-$B$8)/$B$9),((($B$7*($F$22+(0.5)))-$B$8)/$B$9))</f>
        <v>139.988463823121</v>
      </c>
      <c r="C37" s="34" t="n">
        <f aca="false">AVERAGE(((($B$6*($F$13+(-0.25)))-$B$8)/$B$9),((($B$7*($F$22+(0.5)))-$B$8)/$B$9))</f>
        <v>150.595853653766</v>
      </c>
      <c r="D37" s="34" t="n">
        <f aca="false">AVERAGE(((($B$6*($F$13+(0)))-$B$8)/$B$9),((($B$7*($F$22+(0.5)))-$B$8)/$B$9))</f>
        <v>161.203243484412</v>
      </c>
      <c r="E37" s="34" t="n">
        <f aca="false">AVERAGE(((($B$6*($F$13+(0.25)))-$B$8)/$B$9),((($B$7*($F$22+(0.5)))-$B$8)/$B$9))</f>
        <v>171.810633315058</v>
      </c>
      <c r="F37" s="34" t="n">
        <f aca="false">AVERAGE(((($B$6*($F$13+(0.5)))-$B$8)/$B$9),((($B$7*($F$22+(0.5)))-$B$8)/$B$9))</f>
        <v>182.418023145703</v>
      </c>
    </row>
    <row r="38" customFormat="false" ht="14.4" hidden="false" customHeight="false" outlineLevel="0" collapsed="false">
      <c r="A38" s="3"/>
      <c r="B38" s="3"/>
      <c r="C38" s="3"/>
      <c r="D38" s="3"/>
      <c r="E38" s="3"/>
      <c r="F38" s="3"/>
    </row>
    <row r="39" customFormat="false" ht="14.4" hidden="false" customHeight="true" outlineLevel="0" collapsed="false">
      <c r="A39" s="100" t="s">
        <v>487</v>
      </c>
      <c r="B39" s="100"/>
      <c r="C39" s="100"/>
      <c r="D39" s="100"/>
      <c r="E39" s="100"/>
      <c r="F39" s="100"/>
      <c r="G39" s="100"/>
      <c r="H39" s="100"/>
      <c r="I39" s="100"/>
    </row>
    <row r="40" customFormat="false" ht="14.4" hidden="false" customHeight="false" outlineLevel="0" collapsed="false">
      <c r="A40" s="100"/>
      <c r="B40" s="100"/>
      <c r="C40" s="100"/>
      <c r="D40" s="100"/>
      <c r="E40" s="100"/>
      <c r="F40" s="100"/>
      <c r="G40" s="100"/>
      <c r="H40" s="100"/>
      <c r="I40" s="100"/>
    </row>
    <row r="41" customFormat="false" ht="20" hidden="false" customHeight="true" outlineLevel="0" collapsed="false">
      <c r="A41" s="67" t="s">
        <v>488</v>
      </c>
      <c r="B41" s="67"/>
      <c r="C41" s="67"/>
      <c r="D41" s="67"/>
      <c r="E41" s="67"/>
      <c r="F41" s="67"/>
    </row>
    <row r="42" customFormat="false" ht="22.35" hidden="false" customHeight="false" outlineLevel="0" collapsed="false">
      <c r="A42" s="20" t="s">
        <v>479</v>
      </c>
      <c r="B42" s="20" t="s">
        <v>442</v>
      </c>
      <c r="C42" s="20" t="s">
        <v>184</v>
      </c>
      <c r="D42" s="3"/>
      <c r="E42" s="3"/>
      <c r="F42" s="3"/>
    </row>
    <row r="43" customFormat="false" ht="14.4" hidden="false" customHeight="false" outlineLevel="0" collapsed="false">
      <c r="A43" s="11" t="s">
        <v>480</v>
      </c>
      <c r="B43" s="180" t="n">
        <f aca="false">B33</f>
        <v>129.64904425212</v>
      </c>
      <c r="C43" s="11" t="s">
        <v>489</v>
      </c>
      <c r="D43" s="3"/>
      <c r="E43" s="3"/>
      <c r="F43" s="3"/>
    </row>
    <row r="44" customFormat="false" ht="14.4" hidden="false" customHeight="false" outlineLevel="0" collapsed="false">
      <c r="A44" s="181" t="s">
        <v>481</v>
      </c>
      <c r="B44" s="182" t="n">
        <f aca="false">D35</f>
        <v>156.033533698912</v>
      </c>
      <c r="C44" s="181" t="s">
        <v>490</v>
      </c>
      <c r="D44" s="3"/>
      <c r="E44" s="3"/>
      <c r="F44" s="3"/>
    </row>
    <row r="45" customFormat="false" ht="14.4" hidden="false" customHeight="false" outlineLevel="0" collapsed="false">
      <c r="A45" s="14" t="s">
        <v>482</v>
      </c>
      <c r="B45" s="183" t="n">
        <f aca="false">F37</f>
        <v>182.418023145703</v>
      </c>
      <c r="C45" s="14" t="s">
        <v>491</v>
      </c>
      <c r="D45" s="3"/>
      <c r="E45" s="3"/>
      <c r="F45" s="3"/>
    </row>
    <row r="46" customFormat="false" ht="14.4" hidden="false" customHeight="false" outlineLevel="0" collapsed="false">
      <c r="A46" s="3"/>
      <c r="B46" s="3"/>
      <c r="C46" s="3"/>
      <c r="D46" s="3"/>
      <c r="E46" s="3"/>
      <c r="F46" s="3"/>
    </row>
    <row r="47" customFormat="false" ht="14.4" hidden="false" customHeight="true" outlineLevel="0" collapsed="false">
      <c r="A47" s="63" t="s">
        <v>492</v>
      </c>
      <c r="B47" s="63"/>
      <c r="C47" s="63"/>
      <c r="D47" s="63"/>
      <c r="E47" s="63"/>
      <c r="F47" s="63"/>
    </row>
    <row r="48" customFormat="false" ht="14.4" hidden="false" customHeight="false" outlineLevel="0" collapsed="false">
      <c r="A48" s="63"/>
      <c r="B48" s="63"/>
      <c r="C48" s="63"/>
      <c r="D48" s="63"/>
      <c r="E48" s="63"/>
      <c r="F48" s="63"/>
    </row>
  </sheetData>
  <mergeCells count="10">
    <mergeCell ref="A1:I1"/>
    <mergeCell ref="A2:I2"/>
    <mergeCell ref="A4:I4"/>
    <mergeCell ref="A12:I12"/>
    <mergeCell ref="A21:I21"/>
    <mergeCell ref="A30:I30"/>
    <mergeCell ref="A31:I31"/>
    <mergeCell ref="A39:I40"/>
    <mergeCell ref="A41:F41"/>
    <mergeCell ref="A47:F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4" customHeight="false" zeroHeight="false" outlineLevelRow="0" outlineLevelCol="0"/>
  <cols>
    <col collapsed="false" customWidth="true" hidden="false" outlineLevel="0" max="1" min="1" style="0" width="28"/>
    <col collapsed="false" customWidth="true" hidden="false" outlineLevel="0" max="5" min="2" style="0" width="16"/>
    <col collapsed="false" customWidth="true" hidden="false" outlineLevel="0" max="6" min="6" style="0" width="6"/>
    <col collapsed="false" customWidth="true" hidden="false" outlineLevel="0" max="12" min="7" style="0" width="14"/>
  </cols>
  <sheetData>
    <row r="1" customFormat="false" ht="25.5" hidden="false" customHeight="true" outlineLevel="0" collapsed="false">
      <c r="A1" s="1" t="s">
        <v>493</v>
      </c>
      <c r="B1" s="1"/>
      <c r="C1" s="1"/>
      <c r="D1" s="1"/>
      <c r="E1" s="1"/>
      <c r="F1" s="1"/>
      <c r="G1" s="1"/>
      <c r="H1" s="1"/>
      <c r="I1" s="1"/>
      <c r="J1" s="1"/>
      <c r="K1" s="1"/>
      <c r="L1" s="1"/>
    </row>
    <row r="2" customFormat="false" ht="18" hidden="false" customHeight="true" outlineLevel="0" collapsed="false">
      <c r="A2" s="2" t="s">
        <v>494</v>
      </c>
      <c r="B2" s="2"/>
      <c r="C2" s="2"/>
      <c r="D2" s="2"/>
      <c r="E2" s="2"/>
      <c r="F2" s="2"/>
      <c r="G2" s="2"/>
      <c r="H2" s="2"/>
      <c r="I2" s="2"/>
      <c r="J2" s="2"/>
      <c r="K2" s="2"/>
      <c r="L2" s="2"/>
    </row>
    <row r="3" customFormat="false" ht="15" hidden="false" customHeight="true" outlineLevel="0" collapsed="false">
      <c r="A3" s="33"/>
      <c r="B3" s="33"/>
      <c r="C3" s="33"/>
      <c r="D3" s="33"/>
      <c r="E3" s="33"/>
      <c r="F3" s="33"/>
      <c r="G3" s="33"/>
      <c r="H3" s="33"/>
      <c r="I3" s="33"/>
      <c r="J3" s="33"/>
      <c r="K3" s="33"/>
      <c r="L3" s="33"/>
    </row>
    <row r="4" customFormat="false" ht="19.5" hidden="false" customHeight="true" outlineLevel="0" collapsed="false">
      <c r="A4" s="44" t="s">
        <v>495</v>
      </c>
      <c r="B4" s="44"/>
      <c r="C4" s="44"/>
      <c r="D4" s="44"/>
      <c r="E4" s="44"/>
      <c r="F4" s="33"/>
      <c r="G4" s="33"/>
      <c r="H4" s="33"/>
      <c r="I4" s="33"/>
      <c r="J4" s="33"/>
      <c r="K4" s="33"/>
      <c r="L4" s="33"/>
    </row>
    <row r="5" customFormat="false" ht="24" hidden="false" customHeight="true" outlineLevel="0" collapsed="false">
      <c r="A5" s="45" t="s">
        <v>32</v>
      </c>
      <c r="B5" s="45" t="s">
        <v>33</v>
      </c>
      <c r="C5" s="45" t="s">
        <v>34</v>
      </c>
      <c r="D5" s="45" t="s">
        <v>35</v>
      </c>
      <c r="E5" s="46" t="s">
        <v>496</v>
      </c>
      <c r="F5" s="33"/>
      <c r="G5" s="33"/>
      <c r="H5" s="33"/>
      <c r="I5" s="33"/>
      <c r="J5" s="33"/>
      <c r="K5" s="33"/>
      <c r="L5" s="33"/>
    </row>
    <row r="6" customFormat="false" ht="15" hidden="false" customHeight="true" outlineLevel="0" collapsed="false">
      <c r="A6" s="48" t="s">
        <v>10</v>
      </c>
      <c r="B6" s="184" t="n">
        <f aca="false">'PTA Valuation'!I17</f>
        <v>102.726621265033</v>
      </c>
      <c r="C6" s="184" t="n">
        <f aca="false">'PTA Valuation'!I18</f>
        <v>135.908020300221</v>
      </c>
      <c r="D6" s="184" t="n">
        <f aca="false">'PTA Valuation'!I19</f>
        <v>148.64042878683</v>
      </c>
      <c r="E6" s="185" t="n">
        <f aca="false">D6-B6</f>
        <v>45.9138075217968</v>
      </c>
      <c r="F6" s="33"/>
      <c r="G6" s="33"/>
      <c r="H6" s="33"/>
      <c r="I6" s="33"/>
      <c r="J6" s="33"/>
      <c r="K6" s="33"/>
      <c r="L6" s="33"/>
    </row>
    <row r="7" customFormat="false" ht="15" hidden="false" customHeight="true" outlineLevel="0" collapsed="false">
      <c r="A7" s="52" t="s">
        <v>12</v>
      </c>
      <c r="B7" s="155" t="n">
        <f aca="false">'PTA Valuation'!I25</f>
        <v>155.729474950606</v>
      </c>
      <c r="C7" s="155" t="n">
        <f aca="false">'PTA Valuation'!I26</f>
        <v>176.159047097602</v>
      </c>
      <c r="D7" s="155" t="n">
        <f aca="false">'PTA Valuation'!I27</f>
        <v>206.252511951274</v>
      </c>
      <c r="E7" s="186" t="n">
        <f aca="false">D7-B7</f>
        <v>50.5230370006675</v>
      </c>
      <c r="F7" s="33"/>
      <c r="G7" s="33"/>
      <c r="H7" s="33"/>
      <c r="I7" s="33"/>
      <c r="J7" s="33"/>
      <c r="K7" s="33"/>
      <c r="L7" s="33"/>
    </row>
    <row r="8" customFormat="false" ht="15" hidden="false" customHeight="true" outlineLevel="0" collapsed="false">
      <c r="A8" s="33"/>
      <c r="B8" s="33"/>
      <c r="C8" s="33"/>
      <c r="D8" s="33"/>
      <c r="E8" s="33"/>
      <c r="F8" s="33"/>
      <c r="G8" s="33"/>
      <c r="H8" s="33"/>
      <c r="I8" s="33"/>
      <c r="J8" s="33"/>
      <c r="K8" s="33"/>
      <c r="L8" s="33"/>
    </row>
    <row r="9" customFormat="false" ht="15" hidden="false" customHeight="true" outlineLevel="0" collapsed="false">
      <c r="A9" s="33"/>
      <c r="B9" s="33"/>
      <c r="C9" s="33"/>
      <c r="D9" s="33"/>
      <c r="E9" s="33"/>
      <c r="F9" s="33"/>
      <c r="G9" s="33"/>
      <c r="H9" s="33"/>
      <c r="I9" s="33"/>
      <c r="J9" s="33"/>
      <c r="K9" s="33"/>
      <c r="L9" s="33"/>
    </row>
    <row r="10" customFormat="false" ht="19.5" hidden="false" customHeight="true" outlineLevel="0" collapsed="false">
      <c r="A10" s="44" t="s">
        <v>497</v>
      </c>
      <c r="B10" s="44"/>
      <c r="C10" s="44"/>
      <c r="D10" s="33"/>
      <c r="E10" s="33"/>
      <c r="F10" s="33"/>
      <c r="G10" s="33"/>
      <c r="H10" s="33"/>
      <c r="I10" s="33"/>
      <c r="J10" s="33"/>
      <c r="K10" s="33"/>
      <c r="L10" s="33"/>
    </row>
    <row r="11" customFormat="false" ht="24" hidden="false" customHeight="true" outlineLevel="0" collapsed="false">
      <c r="A11" s="45" t="s">
        <v>40</v>
      </c>
      <c r="B11" s="45" t="s">
        <v>498</v>
      </c>
      <c r="C11" s="46" t="s">
        <v>234</v>
      </c>
      <c r="D11" s="33"/>
      <c r="E11" s="33"/>
      <c r="F11" s="33"/>
      <c r="G11" s="33"/>
      <c r="H11" s="33"/>
      <c r="I11" s="33"/>
      <c r="J11" s="33"/>
      <c r="K11" s="33"/>
      <c r="L11" s="33"/>
    </row>
    <row r="12" customFormat="false" ht="15" hidden="false" customHeight="true" outlineLevel="0" collapsed="false">
      <c r="A12" s="48" t="s">
        <v>19</v>
      </c>
      <c r="B12" s="184" t="n">
        <f aca="false">'PTA Valuation'!B10</f>
        <v>171.65</v>
      </c>
      <c r="C12" s="49" t="s">
        <v>178</v>
      </c>
      <c r="D12" s="33"/>
      <c r="E12" s="33"/>
      <c r="F12" s="33"/>
      <c r="G12" s="33"/>
      <c r="H12" s="33"/>
      <c r="I12" s="33"/>
      <c r="J12" s="33"/>
      <c r="K12" s="33"/>
      <c r="L12" s="33"/>
    </row>
    <row r="13" customFormat="false" ht="15" hidden="false" customHeight="true" outlineLevel="0" collapsed="false">
      <c r="A13" s="52" t="s">
        <v>499</v>
      </c>
      <c r="B13" s="155" t="n">
        <f aca="false">'PTA Valuation'!B11</f>
        <v>210</v>
      </c>
      <c r="C13" s="53" t="s">
        <v>500</v>
      </c>
      <c r="D13" s="33"/>
      <c r="E13" s="33"/>
      <c r="F13" s="33"/>
      <c r="G13" s="33"/>
      <c r="H13" s="33"/>
      <c r="I13" s="33"/>
      <c r="J13" s="33"/>
      <c r="K13" s="33"/>
      <c r="L13" s="33"/>
    </row>
    <row r="14" customFormat="false" ht="15" hidden="false" customHeight="true" outlineLevel="0" collapsed="false">
      <c r="A14" s="187" t="s">
        <v>231</v>
      </c>
      <c r="B14" s="188" t="n">
        <f aca="false">'PTA Valuation'!B40</f>
        <v>156.033533698912</v>
      </c>
      <c r="C14" s="189" t="s">
        <v>501</v>
      </c>
      <c r="D14" s="33"/>
      <c r="E14" s="33"/>
      <c r="F14" s="33"/>
      <c r="G14" s="33"/>
      <c r="H14" s="33"/>
      <c r="I14" s="33"/>
      <c r="J14" s="33"/>
      <c r="K14" s="33"/>
      <c r="L14" s="33"/>
    </row>
    <row r="15" customFormat="false" ht="15" hidden="false" customHeight="true" outlineLevel="0" collapsed="false">
      <c r="A15" s="33"/>
      <c r="B15" s="33"/>
      <c r="C15" s="33"/>
      <c r="D15" s="33"/>
      <c r="E15" s="33"/>
      <c r="F15" s="33"/>
      <c r="G15" s="33"/>
      <c r="H15" s="33"/>
      <c r="I15" s="33"/>
      <c r="J15" s="33"/>
      <c r="K15" s="33"/>
      <c r="L15" s="33"/>
    </row>
    <row r="16" customFormat="false" ht="15" hidden="false" customHeight="true" outlineLevel="0" collapsed="false">
      <c r="A16" s="33"/>
      <c r="B16" s="33"/>
      <c r="C16" s="33"/>
      <c r="D16" s="33"/>
      <c r="E16" s="33"/>
      <c r="F16" s="33"/>
      <c r="G16" s="33"/>
      <c r="H16" s="33"/>
      <c r="I16" s="33"/>
      <c r="J16" s="33"/>
      <c r="K16" s="33"/>
      <c r="L16" s="33"/>
    </row>
    <row r="17" customFormat="false" ht="15" hidden="false" customHeight="true" outlineLevel="0" collapsed="false">
      <c r="A17" s="33"/>
      <c r="B17" s="33"/>
      <c r="C17" s="33"/>
      <c r="D17" s="33"/>
      <c r="E17" s="33"/>
      <c r="F17" s="33"/>
      <c r="G17" s="33"/>
      <c r="H17" s="33"/>
      <c r="I17" s="33"/>
      <c r="J17" s="33"/>
      <c r="K17" s="33"/>
      <c r="L17" s="33"/>
    </row>
    <row r="18" customFormat="false" ht="15" hidden="false" customHeight="true" outlineLevel="0" collapsed="false">
      <c r="A18" s="63" t="s">
        <v>502</v>
      </c>
      <c r="B18" s="63"/>
      <c r="C18" s="63"/>
      <c r="D18" s="63"/>
      <c r="E18" s="63"/>
      <c r="F18" s="63"/>
      <c r="G18" s="33"/>
      <c r="H18" s="33"/>
      <c r="I18" s="33"/>
      <c r="J18" s="33"/>
      <c r="K18" s="33"/>
      <c r="L18" s="33"/>
    </row>
    <row r="19" customFormat="false" ht="15" hidden="false" customHeight="true" outlineLevel="0" collapsed="false">
      <c r="A19" s="63" t="s">
        <v>503</v>
      </c>
      <c r="B19" s="63"/>
      <c r="C19" s="63"/>
      <c r="D19" s="63"/>
      <c r="E19" s="63"/>
      <c r="F19" s="63"/>
      <c r="G19" s="33"/>
      <c r="H19" s="33"/>
      <c r="I19" s="33"/>
      <c r="J19" s="33"/>
      <c r="K19" s="33"/>
      <c r="L19" s="33"/>
    </row>
    <row r="20" customFormat="false" ht="15" hidden="false" customHeight="true" outlineLevel="0" collapsed="false">
      <c r="A20" s="63"/>
      <c r="B20" s="63"/>
      <c r="C20" s="63"/>
      <c r="D20" s="63"/>
      <c r="E20" s="63"/>
      <c r="F20" s="63"/>
      <c r="G20" s="33"/>
      <c r="H20" s="33"/>
      <c r="I20" s="33"/>
      <c r="J20" s="33"/>
      <c r="K20" s="33"/>
      <c r="L20" s="33"/>
    </row>
    <row r="21" customFormat="false" ht="14.4" hidden="false" customHeight="false" outlineLevel="0" collapsed="false">
      <c r="A21" s="3"/>
      <c r="B21" s="3"/>
      <c r="C21" s="3"/>
      <c r="D21" s="3"/>
      <c r="E21" s="3"/>
      <c r="F21" s="3"/>
      <c r="G21" s="3"/>
      <c r="H21" s="3"/>
      <c r="I21" s="3"/>
      <c r="J21" s="3"/>
      <c r="K21" s="3"/>
      <c r="L21" s="3"/>
    </row>
    <row r="22" customFormat="false" ht="20" hidden="false" customHeight="true" outlineLevel="0" collapsed="false">
      <c r="A22" s="67" t="s">
        <v>504</v>
      </c>
      <c r="B22" s="67"/>
      <c r="C22" s="67"/>
      <c r="D22" s="67"/>
      <c r="E22" s="67"/>
      <c r="F22" s="67"/>
      <c r="G22" s="3"/>
      <c r="H22" s="3"/>
      <c r="I22" s="3"/>
      <c r="J22" s="3"/>
      <c r="K22" s="3"/>
      <c r="L22" s="3"/>
    </row>
    <row r="23" customFormat="false" ht="14.4" hidden="false" customHeight="false" outlineLevel="0" collapsed="false">
      <c r="A23" s="20" t="s">
        <v>40</v>
      </c>
      <c r="B23" s="20" t="s">
        <v>226</v>
      </c>
      <c r="C23" s="3"/>
      <c r="D23" s="3"/>
      <c r="E23" s="3"/>
      <c r="F23" s="3"/>
      <c r="G23" s="3"/>
      <c r="H23" s="3"/>
      <c r="I23" s="3"/>
      <c r="J23" s="3"/>
      <c r="K23" s="3"/>
      <c r="L23" s="3"/>
    </row>
    <row r="24" customFormat="false" ht="14.4" hidden="false" customHeight="false" outlineLevel="0" collapsed="false">
      <c r="A24" s="11" t="s">
        <v>19</v>
      </c>
      <c r="B24" s="21" t="n">
        <f aca="false">'PTA Valuation'!B10</f>
        <v>171.65</v>
      </c>
      <c r="C24" s="3"/>
      <c r="D24" s="3"/>
      <c r="E24" s="3"/>
      <c r="F24" s="3"/>
      <c r="G24" s="3"/>
      <c r="H24" s="3"/>
      <c r="I24" s="3"/>
      <c r="J24" s="3"/>
      <c r="K24" s="3"/>
      <c r="L24" s="3"/>
    </row>
    <row r="25" customFormat="false" ht="14.4" hidden="false" customHeight="false" outlineLevel="0" collapsed="false">
      <c r="A25" s="181" t="s">
        <v>505</v>
      </c>
      <c r="B25" s="190" t="n">
        <f aca="false">'PTA Valuation'!B40</f>
        <v>156.033533698912</v>
      </c>
      <c r="C25" s="3"/>
      <c r="D25" s="3"/>
      <c r="E25" s="3"/>
      <c r="F25" s="3"/>
      <c r="G25" s="3"/>
      <c r="H25" s="3"/>
      <c r="I25" s="3"/>
      <c r="J25" s="3"/>
      <c r="K25" s="3"/>
      <c r="L25" s="3"/>
    </row>
    <row r="26" customFormat="false" ht="14.4" hidden="false" customHeight="false" outlineLevel="0" collapsed="false">
      <c r="A26" s="14" t="s">
        <v>499</v>
      </c>
      <c r="B26" s="24" t="n">
        <f aca="false">'PTA Valuation'!B11</f>
        <v>210</v>
      </c>
      <c r="C26" s="3"/>
      <c r="D26" s="3"/>
      <c r="E26" s="3"/>
      <c r="F26" s="3"/>
      <c r="G26" s="3"/>
      <c r="H26" s="3"/>
      <c r="I26" s="3"/>
      <c r="J26" s="3"/>
      <c r="K26" s="3"/>
      <c r="L26" s="3"/>
    </row>
  </sheetData>
  <mergeCells count="6">
    <mergeCell ref="A1:L1"/>
    <mergeCell ref="A2:L2"/>
    <mergeCell ref="A4:E4"/>
    <mergeCell ref="A10:C10"/>
    <mergeCell ref="A18:F20"/>
    <mergeCell ref="A22:F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0390625" defaultRowHeight="14.4" customHeight="false"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58"/>
    <col collapsed="false" customWidth="true" hidden="false" outlineLevel="0" max="7" min="4" style="0" width="15"/>
    <col collapsed="false" customWidth="true" hidden="false" outlineLevel="0" max="8" min="8" style="0" width="12"/>
    <col collapsed="false" customWidth="true" hidden="false" outlineLevel="0" max="9" min="9" style="0" width="22"/>
  </cols>
  <sheetData>
    <row r="1" customFormat="false" ht="25.5" hidden="false" customHeight="true" outlineLevel="0" collapsed="false">
      <c r="A1" s="1" t="s">
        <v>506</v>
      </c>
      <c r="B1" s="1"/>
      <c r="C1" s="1"/>
      <c r="D1" s="1"/>
      <c r="E1" s="1"/>
      <c r="F1" s="1"/>
      <c r="G1" s="1"/>
      <c r="H1" s="1"/>
      <c r="I1" s="1"/>
    </row>
    <row r="2" customFormat="false" ht="18" hidden="false" customHeight="true" outlineLevel="0" collapsed="false">
      <c r="A2" s="2" t="s">
        <v>507</v>
      </c>
      <c r="B2" s="2"/>
      <c r="C2" s="2"/>
      <c r="D2" s="2"/>
      <c r="E2" s="2"/>
      <c r="F2" s="2"/>
      <c r="G2" s="2"/>
      <c r="H2" s="2"/>
      <c r="I2" s="2"/>
    </row>
    <row r="3" customFormat="false" ht="14.4" hidden="false" customHeight="false" outlineLevel="0" collapsed="false">
      <c r="A3" s="3"/>
      <c r="B3" s="3"/>
      <c r="C3" s="3"/>
      <c r="D3" s="3"/>
      <c r="E3" s="3"/>
      <c r="F3" s="3"/>
      <c r="G3" s="3"/>
      <c r="H3" s="3"/>
      <c r="I3" s="3"/>
    </row>
    <row r="4" customFormat="false" ht="19.5" hidden="false" customHeight="true" outlineLevel="0" collapsed="false">
      <c r="A4" s="4" t="s">
        <v>508</v>
      </c>
      <c r="B4" s="4"/>
      <c r="C4" s="4"/>
      <c r="D4" s="4"/>
      <c r="E4" s="4"/>
      <c r="F4" s="4"/>
      <c r="G4" s="4"/>
      <c r="H4" s="4"/>
      <c r="I4" s="4"/>
    </row>
    <row r="5" customFormat="false" ht="24" hidden="false" customHeight="true" outlineLevel="0" collapsed="false">
      <c r="A5" s="32" t="s">
        <v>509</v>
      </c>
      <c r="B5" s="32" t="s">
        <v>510</v>
      </c>
      <c r="C5" s="32" t="s">
        <v>511</v>
      </c>
      <c r="D5" s="3"/>
      <c r="E5" s="3"/>
      <c r="F5" s="3"/>
      <c r="G5" s="3"/>
      <c r="H5" s="3"/>
      <c r="I5" s="3"/>
    </row>
    <row r="6" customFormat="false" ht="32" hidden="false" customHeight="true" outlineLevel="0" collapsed="false">
      <c r="A6" s="33" t="s">
        <v>512</v>
      </c>
      <c r="B6" s="191" t="n">
        <v>1</v>
      </c>
      <c r="C6" s="33" t="s">
        <v>513</v>
      </c>
      <c r="D6" s="3"/>
      <c r="E6" s="3"/>
      <c r="F6" s="3"/>
      <c r="G6" s="3"/>
      <c r="H6" s="3"/>
      <c r="I6" s="3"/>
    </row>
    <row r="7" customFormat="false" ht="32" hidden="false" customHeight="true" outlineLevel="0" collapsed="false">
      <c r="A7" s="33" t="s">
        <v>514</v>
      </c>
      <c r="B7" s="191" t="n">
        <v>1</v>
      </c>
      <c r="C7" s="33" t="s">
        <v>515</v>
      </c>
      <c r="D7" s="3"/>
      <c r="E7" s="3"/>
      <c r="F7" s="3"/>
      <c r="G7" s="3"/>
      <c r="H7" s="3"/>
      <c r="I7" s="3"/>
    </row>
    <row r="8" customFormat="false" ht="32" hidden="false" customHeight="true" outlineLevel="0" collapsed="false">
      <c r="A8" s="33" t="s">
        <v>516</v>
      </c>
      <c r="B8" s="191" t="n">
        <v>1</v>
      </c>
      <c r="C8" s="33" t="s">
        <v>517</v>
      </c>
      <c r="D8" s="3"/>
      <c r="E8" s="3"/>
      <c r="F8" s="3"/>
      <c r="G8" s="3"/>
      <c r="H8" s="3"/>
      <c r="I8" s="3"/>
    </row>
    <row r="9" customFormat="false" ht="32" hidden="false" customHeight="true" outlineLevel="0" collapsed="false">
      <c r="A9" s="33" t="s">
        <v>260</v>
      </c>
      <c r="B9" s="191" t="n">
        <v>1</v>
      </c>
      <c r="C9" s="33" t="s">
        <v>518</v>
      </c>
      <c r="D9" s="3"/>
      <c r="E9" s="3"/>
      <c r="F9" s="3"/>
      <c r="G9" s="3"/>
      <c r="H9" s="3"/>
      <c r="I9" s="3"/>
    </row>
    <row r="10" customFormat="false" ht="32" hidden="false" customHeight="true" outlineLevel="0" collapsed="false">
      <c r="A10" s="33" t="s">
        <v>519</v>
      </c>
      <c r="B10" s="191" t="n">
        <v>1</v>
      </c>
      <c r="C10" s="33" t="s">
        <v>520</v>
      </c>
      <c r="D10" s="3"/>
      <c r="E10" s="3"/>
      <c r="F10" s="3"/>
      <c r="G10" s="3"/>
      <c r="H10" s="3"/>
      <c r="I10" s="3"/>
    </row>
    <row r="11" customFormat="false" ht="32" hidden="false" customHeight="true" outlineLevel="0" collapsed="false">
      <c r="A11" s="33" t="s">
        <v>521</v>
      </c>
      <c r="B11" s="191" t="n">
        <v>1</v>
      </c>
      <c r="C11" s="33" t="s">
        <v>522</v>
      </c>
      <c r="D11" s="3"/>
      <c r="E11" s="3"/>
      <c r="F11" s="3"/>
      <c r="G11" s="3"/>
      <c r="H11" s="3"/>
      <c r="I11" s="3"/>
    </row>
    <row r="12" customFormat="false" ht="14.4" hidden="false" customHeight="false" outlineLevel="0" collapsed="false">
      <c r="A12" s="3"/>
      <c r="B12" s="3"/>
      <c r="C12" s="3"/>
      <c r="D12" s="3"/>
      <c r="E12" s="3"/>
      <c r="F12" s="3"/>
      <c r="G12" s="3"/>
      <c r="H12" s="3"/>
      <c r="I12" s="3"/>
    </row>
    <row r="13" customFormat="false" ht="19.5" hidden="false" customHeight="true" outlineLevel="0" collapsed="false">
      <c r="A13" s="4" t="s">
        <v>523</v>
      </c>
      <c r="B13" s="4"/>
      <c r="C13" s="4"/>
      <c r="D13" s="4"/>
      <c r="E13" s="4"/>
      <c r="F13" s="4"/>
      <c r="G13" s="4"/>
      <c r="H13" s="4"/>
      <c r="I13" s="4"/>
    </row>
    <row r="14" customFormat="false" ht="24" hidden="false" customHeight="true" outlineLevel="0" collapsed="false">
      <c r="A14" s="32" t="s">
        <v>354</v>
      </c>
      <c r="B14" s="32" t="s">
        <v>512</v>
      </c>
      <c r="C14" s="32" t="s">
        <v>514</v>
      </c>
      <c r="D14" s="32" t="s">
        <v>516</v>
      </c>
      <c r="E14" s="32" t="s">
        <v>260</v>
      </c>
      <c r="F14" s="32" t="s">
        <v>519</v>
      </c>
      <c r="G14" s="32" t="s">
        <v>521</v>
      </c>
      <c r="H14" s="32" t="s">
        <v>361</v>
      </c>
      <c r="I14" s="20" t="s">
        <v>524</v>
      </c>
    </row>
    <row r="15" customFormat="false" ht="14.4" hidden="false" customHeight="false" outlineLevel="0" collapsed="false">
      <c r="A15" s="33" t="str">
        <f aca="false">'Precedent Transactions'!B6&amp;" / "&amp;'Precedent Transactions'!C6</f>
        <v>Flowserve / Velan</v>
      </c>
      <c r="B15" s="39" t="n">
        <f aca="false">'Precedent Transactions'!B24</f>
        <v>5</v>
      </c>
      <c r="C15" s="39" t="n">
        <f aca="false">'Precedent Transactions'!C24</f>
        <v>5</v>
      </c>
      <c r="D15" s="39" t="n">
        <f aca="false">'Precedent Transactions'!D24</f>
        <v>2</v>
      </c>
      <c r="E15" s="39" t="n">
        <f aca="false">'Precedent Transactions'!E24</f>
        <v>5</v>
      </c>
      <c r="F15" s="39" t="n">
        <f aca="false">'Precedent Transactions'!F24</f>
        <v>5</v>
      </c>
      <c r="G15" s="39" t="n">
        <f aca="false">'Precedent Transactions'!G24</f>
        <v>5</v>
      </c>
      <c r="H15" s="192" t="n">
        <f aca="false">SUM(B15:G15)</f>
        <v>27</v>
      </c>
      <c r="I15" s="84" t="n">
        <f aca="false">H15/30</f>
        <v>0.9</v>
      </c>
    </row>
    <row r="16" customFormat="false" ht="14.4" hidden="false" customHeight="false" outlineLevel="0" collapsed="false">
      <c r="A16" s="33" t="str">
        <f aca="false">'Precedent Transactions'!B7&amp;" / "&amp;'Precedent Transactions'!C7</f>
        <v>SLB / ChampionX</v>
      </c>
      <c r="B16" s="39" t="n">
        <f aca="false">'Precedent Transactions'!B25</f>
        <v>4</v>
      </c>
      <c r="C16" s="39" t="n">
        <f aca="false">'Precedent Transactions'!C25</f>
        <v>4</v>
      </c>
      <c r="D16" s="39" t="n">
        <f aca="false">'Precedent Transactions'!D25</f>
        <v>5</v>
      </c>
      <c r="E16" s="39" t="n">
        <f aca="false">'Precedent Transactions'!E25</f>
        <v>5</v>
      </c>
      <c r="F16" s="39" t="n">
        <f aca="false">'Precedent Transactions'!F25</f>
        <v>5</v>
      </c>
      <c r="G16" s="39" t="n">
        <f aca="false">'Precedent Transactions'!G25</f>
        <v>5</v>
      </c>
      <c r="H16" s="192" t="n">
        <f aca="false">SUM(B16:G16)</f>
        <v>28</v>
      </c>
      <c r="I16" s="86" t="n">
        <f aca="false">H16/30</f>
        <v>0.933333333333333</v>
      </c>
    </row>
    <row r="17" customFormat="false" ht="14.4" hidden="false" customHeight="false" outlineLevel="0" collapsed="false">
      <c r="A17" s="33" t="str">
        <f aca="false">'Precedent Transactions'!B8&amp;" / "&amp;'Precedent Transactions'!C8</f>
        <v>Emerson / National Instruments</v>
      </c>
      <c r="B17" s="39" t="n">
        <f aca="false">'Precedent Transactions'!B26</f>
        <v>4</v>
      </c>
      <c r="C17" s="39" t="n">
        <f aca="false">'Precedent Transactions'!C26</f>
        <v>4</v>
      </c>
      <c r="D17" s="39" t="n">
        <f aca="false">'Precedent Transactions'!D26</f>
        <v>5</v>
      </c>
      <c r="E17" s="39" t="n">
        <f aca="false">'Precedent Transactions'!E26</f>
        <v>4</v>
      </c>
      <c r="F17" s="39" t="n">
        <f aca="false">'Precedent Transactions'!F26</f>
        <v>5</v>
      </c>
      <c r="G17" s="39" t="n">
        <f aca="false">'Precedent Transactions'!G26</f>
        <v>5</v>
      </c>
      <c r="H17" s="192" t="n">
        <f aca="false">SUM(B17:G17)</f>
        <v>27</v>
      </c>
      <c r="I17" s="86" t="n">
        <f aca="false">H17/30</f>
        <v>0.9</v>
      </c>
    </row>
    <row r="18" customFormat="false" ht="23.85" hidden="false" customHeight="false" outlineLevel="0" collapsed="false">
      <c r="A18" s="33" t="str">
        <f aca="false">'Precedent Transactions'!B9&amp;" / "&amp;'Precedent Transactions'!C9</f>
        <v>Regal Rexnord / Altra Industrial Motion</v>
      </c>
      <c r="B18" s="39" t="n">
        <f aca="false">'Precedent Transactions'!B27</f>
        <v>4</v>
      </c>
      <c r="C18" s="39" t="n">
        <f aca="false">'Precedent Transactions'!C27</f>
        <v>5</v>
      </c>
      <c r="D18" s="39" t="n">
        <f aca="false">'Precedent Transactions'!D27</f>
        <v>4</v>
      </c>
      <c r="E18" s="39" t="n">
        <f aca="false">'Precedent Transactions'!E27</f>
        <v>5</v>
      </c>
      <c r="F18" s="39" t="n">
        <f aca="false">'Precedent Transactions'!F27</f>
        <v>5</v>
      </c>
      <c r="G18" s="39" t="n">
        <f aca="false">'Precedent Transactions'!G27</f>
        <v>5</v>
      </c>
      <c r="H18" s="192" t="n">
        <f aca="false">SUM(B18:G18)</f>
        <v>28</v>
      </c>
      <c r="I18" s="86" t="n">
        <f aca="false">H18/30</f>
        <v>0.933333333333333</v>
      </c>
    </row>
    <row r="19" customFormat="false" ht="14.4" hidden="false" customHeight="false" outlineLevel="0" collapsed="false">
      <c r="A19" s="33" t="str">
        <f aca="false">'Precedent Transactions'!B10&amp;" / "&amp;'Precedent Transactions'!C10</f>
        <v>Chart Industries / Howden</v>
      </c>
      <c r="B19" s="39" t="n">
        <f aca="false">'Precedent Transactions'!B28</f>
        <v>5</v>
      </c>
      <c r="C19" s="39" t="n">
        <f aca="false">'Precedent Transactions'!C28</f>
        <v>5</v>
      </c>
      <c r="D19" s="39" t="n">
        <f aca="false">'Precedent Transactions'!D28</f>
        <v>4</v>
      </c>
      <c r="E19" s="39" t="n">
        <f aca="false">'Precedent Transactions'!E28</f>
        <v>5</v>
      </c>
      <c r="F19" s="39" t="n">
        <f aca="false">'Precedent Transactions'!F28</f>
        <v>5</v>
      </c>
      <c r="G19" s="39" t="n">
        <f aca="false">'Precedent Transactions'!G28</f>
        <v>5</v>
      </c>
      <c r="H19" s="192" t="n">
        <f aca="false">SUM(B19:G19)</f>
        <v>29</v>
      </c>
      <c r="I19" s="86" t="n">
        <f aca="false">H19/30</f>
        <v>0.966666666666667</v>
      </c>
    </row>
    <row r="20" customFormat="false" ht="14.4" hidden="false" customHeight="false" outlineLevel="0" collapsed="false">
      <c r="A20" s="33" t="str">
        <f aca="false">'Precedent Transactions'!B11&amp;" / "&amp;'Precedent Transactions'!C11</f>
        <v>Siemens / Dresser-Rand</v>
      </c>
      <c r="B20" s="39" t="n">
        <f aca="false">'Precedent Transactions'!B29</f>
        <v>5</v>
      </c>
      <c r="C20" s="39" t="n">
        <f aca="false">'Precedent Transactions'!C29</f>
        <v>5</v>
      </c>
      <c r="D20" s="39" t="n">
        <f aca="false">'Precedent Transactions'!D29</f>
        <v>5</v>
      </c>
      <c r="E20" s="39" t="n">
        <f aca="false">'Precedent Transactions'!E29</f>
        <v>5</v>
      </c>
      <c r="F20" s="39" t="n">
        <f aca="false">'Precedent Transactions'!F29</f>
        <v>2</v>
      </c>
      <c r="G20" s="39" t="n">
        <f aca="false">'Precedent Transactions'!G29</f>
        <v>5</v>
      </c>
      <c r="H20" s="192" t="n">
        <f aca="false">SUM(B20:G20)</f>
        <v>27</v>
      </c>
      <c r="I20" s="86" t="n">
        <f aca="false">H20/30</f>
        <v>0.9</v>
      </c>
    </row>
    <row r="21" customFormat="false" ht="14.4" hidden="false" customHeight="false" outlineLevel="0" collapsed="false">
      <c r="A21" s="33" t="str">
        <f aca="false">'Precedent Transactions'!B12&amp;" / "&amp;'Precedent Transactions'!C12</f>
        <v>KKR / Gardner Denver</v>
      </c>
      <c r="B21" s="39" t="n">
        <f aca="false">'Precedent Transactions'!B30</f>
        <v>4</v>
      </c>
      <c r="C21" s="39" t="n">
        <f aca="false">'Precedent Transactions'!C30</f>
        <v>5</v>
      </c>
      <c r="D21" s="39" t="n">
        <f aca="false">'Precedent Transactions'!D30</f>
        <v>4</v>
      </c>
      <c r="E21" s="39" t="n">
        <f aca="false">'Precedent Transactions'!E30</f>
        <v>4</v>
      </c>
      <c r="F21" s="39" t="n">
        <f aca="false">'Precedent Transactions'!F30</f>
        <v>1</v>
      </c>
      <c r="G21" s="39" t="n">
        <f aca="false">'Precedent Transactions'!G30</f>
        <v>5</v>
      </c>
      <c r="H21" s="192" t="n">
        <f aca="false">SUM(B21:G21)</f>
        <v>23</v>
      </c>
      <c r="I21" s="86" t="n">
        <f aca="false">H21/30</f>
        <v>0.766666666666667</v>
      </c>
    </row>
    <row r="22" customFormat="false" ht="14.4" hidden="false" customHeight="false" outlineLevel="0" collapsed="false">
      <c r="A22" s="33" t="str">
        <f aca="false">'Precedent Transactions'!B13&amp;" / "&amp;'Precedent Transactions'!C13</f>
        <v>Caterpillar / Bucyrus</v>
      </c>
      <c r="B22" s="39" t="n">
        <f aca="false">'Precedent Transactions'!B31</f>
        <v>4</v>
      </c>
      <c r="C22" s="39" t="n">
        <f aca="false">'Precedent Transactions'!C31</f>
        <v>4</v>
      </c>
      <c r="D22" s="39" t="n">
        <f aca="false">'Precedent Transactions'!D31</f>
        <v>5</v>
      </c>
      <c r="E22" s="39" t="n">
        <f aca="false">'Precedent Transactions'!E31</f>
        <v>5</v>
      </c>
      <c r="F22" s="39" t="n">
        <f aca="false">'Precedent Transactions'!F31</f>
        <v>1</v>
      </c>
      <c r="G22" s="39" t="n">
        <f aca="false">'Precedent Transactions'!G31</f>
        <v>5</v>
      </c>
      <c r="H22" s="192" t="n">
        <f aca="false">SUM(B22:G22)</f>
        <v>24</v>
      </c>
      <c r="I22" s="86" t="n">
        <f aca="false">H22/30</f>
        <v>0.8</v>
      </c>
    </row>
    <row r="23" customFormat="false" ht="14.4" hidden="false" customHeight="false" outlineLevel="0" collapsed="false">
      <c r="A23" s="3"/>
      <c r="B23" s="3"/>
      <c r="C23" s="3"/>
      <c r="D23" s="3"/>
      <c r="E23" s="3"/>
      <c r="F23" s="3"/>
      <c r="G23" s="3"/>
      <c r="H23" s="3"/>
      <c r="I23" s="3"/>
    </row>
    <row r="24" customFormat="false" ht="19.5" hidden="false" customHeight="true" outlineLevel="0" collapsed="false">
      <c r="A24" s="4" t="s">
        <v>525</v>
      </c>
      <c r="B24" s="4"/>
      <c r="C24" s="4"/>
      <c r="D24" s="4"/>
      <c r="E24" s="4"/>
      <c r="F24" s="4"/>
      <c r="G24" s="4"/>
      <c r="H24" s="4"/>
      <c r="I24" s="4"/>
    </row>
    <row r="25" customFormat="false" ht="24" hidden="false" customHeight="true" outlineLevel="0" collapsed="false">
      <c r="A25" s="32" t="s">
        <v>354</v>
      </c>
      <c r="B25" s="32" t="s">
        <v>526</v>
      </c>
      <c r="C25" s="32" t="s">
        <v>261</v>
      </c>
      <c r="D25" s="20" t="s">
        <v>527</v>
      </c>
      <c r="E25" s="3"/>
      <c r="F25" s="3"/>
      <c r="G25" s="3"/>
      <c r="H25" s="3"/>
      <c r="I25" s="3"/>
    </row>
    <row r="26" customFormat="false" ht="14.4" hidden="false" customHeight="false" outlineLevel="0" collapsed="false">
      <c r="A26" s="33" t="str">
        <f aca="false">A15</f>
        <v>Flowserve / Velan</v>
      </c>
      <c r="B26" s="39" t="n">
        <f aca="false">H15</f>
        <v>27</v>
      </c>
      <c r="C26" s="39" t="str">
        <f aca="false">'Precedent Transactions'!U6</f>
        <v>Core — both</v>
      </c>
      <c r="D26" s="84" t="n">
        <f aca="false">I15</f>
        <v>0.9</v>
      </c>
      <c r="E26" s="3"/>
      <c r="F26" s="3"/>
      <c r="G26" s="3"/>
      <c r="H26" s="3"/>
      <c r="I26" s="3"/>
    </row>
    <row r="27" customFormat="false" ht="14.4" hidden="false" customHeight="false" outlineLevel="0" collapsed="false">
      <c r="A27" s="33" t="str">
        <f aca="false">A16</f>
        <v>SLB / ChampionX</v>
      </c>
      <c r="B27" s="39" t="n">
        <f aca="false">H16</f>
        <v>28</v>
      </c>
      <c r="C27" s="39" t="str">
        <f aca="false">'Precedent Transactions'!U7</f>
        <v>Core — both</v>
      </c>
      <c r="D27" s="86" t="n">
        <f aca="false">I16</f>
        <v>0.933333333333333</v>
      </c>
      <c r="E27" s="3"/>
      <c r="F27" s="3"/>
      <c r="G27" s="3"/>
      <c r="H27" s="3"/>
      <c r="I27" s="3"/>
    </row>
    <row r="28" customFormat="false" ht="14.4" hidden="false" customHeight="false" outlineLevel="0" collapsed="false">
      <c r="A28" s="33" t="str">
        <f aca="false">A17</f>
        <v>Emerson / National Instruments</v>
      </c>
      <c r="B28" s="39" t="n">
        <f aca="false">H17</f>
        <v>27</v>
      </c>
      <c r="C28" s="39" t="str">
        <f aca="false">'Precedent Transactions'!U8</f>
        <v>Core — both</v>
      </c>
      <c r="D28" s="86" t="n">
        <f aca="false">I17</f>
        <v>0.9</v>
      </c>
      <c r="E28" s="3"/>
      <c r="F28" s="3"/>
      <c r="G28" s="3"/>
      <c r="H28" s="3"/>
      <c r="I28" s="3"/>
    </row>
    <row r="29" customFormat="false" ht="23.85" hidden="false" customHeight="false" outlineLevel="0" collapsed="false">
      <c r="A29" s="33" t="str">
        <f aca="false">A18</f>
        <v>Regal Rexnord / Altra Industrial Motion</v>
      </c>
      <c r="B29" s="39" t="n">
        <f aca="false">H18</f>
        <v>28</v>
      </c>
      <c r="C29" s="39" t="str">
        <f aca="false">'Precedent Transactions'!U9</f>
        <v>Core — both</v>
      </c>
      <c r="D29" s="86" t="n">
        <f aca="false">I18</f>
        <v>0.933333333333333</v>
      </c>
      <c r="E29" s="3"/>
      <c r="F29" s="3"/>
      <c r="G29" s="3"/>
      <c r="H29" s="3"/>
      <c r="I29" s="3"/>
    </row>
    <row r="30" customFormat="false" ht="14.4" hidden="false" customHeight="false" outlineLevel="0" collapsed="false">
      <c r="A30" s="33" t="str">
        <f aca="false">A19</f>
        <v>Chart Industries / Howden</v>
      </c>
      <c r="B30" s="39" t="n">
        <f aca="false">H19</f>
        <v>29</v>
      </c>
      <c r="C30" s="39" t="str">
        <f aca="false">'Precedent Transactions'!U10</f>
        <v>Core — both</v>
      </c>
      <c r="D30" s="86" t="n">
        <f aca="false">I19</f>
        <v>0.966666666666667</v>
      </c>
      <c r="E30" s="3"/>
      <c r="F30" s="3"/>
      <c r="G30" s="3"/>
      <c r="H30" s="3"/>
      <c r="I30" s="3"/>
    </row>
    <row r="31" customFormat="false" ht="14.4" hidden="false" customHeight="false" outlineLevel="0" collapsed="false">
      <c r="A31" s="33" t="str">
        <f aca="false">A20</f>
        <v>Siemens / Dresser-Rand</v>
      </c>
      <c r="B31" s="39" t="n">
        <f aca="false">H20</f>
        <v>27</v>
      </c>
      <c r="C31" s="39" t="str">
        <f aca="false">'Precedent Transactions'!U11</f>
        <v>Core — both</v>
      </c>
      <c r="D31" s="86" t="n">
        <f aca="false">I20</f>
        <v>0.9</v>
      </c>
      <c r="E31" s="3"/>
      <c r="F31" s="3"/>
      <c r="G31" s="3"/>
      <c r="H31" s="3"/>
      <c r="I31" s="3"/>
    </row>
    <row r="32" customFormat="false" ht="14.4" hidden="false" customHeight="false" outlineLevel="0" collapsed="false">
      <c r="A32" s="33" t="str">
        <f aca="false">A21</f>
        <v>KKR / Gardner Denver</v>
      </c>
      <c r="B32" s="39" t="n">
        <f aca="false">H21</f>
        <v>23</v>
      </c>
      <c r="C32" s="39" t="str">
        <f aca="false">'Precedent Transactions'!U12</f>
        <v>Core — both</v>
      </c>
      <c r="D32" s="86" t="n">
        <f aca="false">I21</f>
        <v>0.766666666666667</v>
      </c>
      <c r="E32" s="3"/>
      <c r="F32" s="3"/>
      <c r="G32" s="3"/>
      <c r="H32" s="3"/>
      <c r="I32" s="3"/>
    </row>
    <row r="33" customFormat="false" ht="14.4" hidden="false" customHeight="false" outlineLevel="0" collapsed="false">
      <c r="A33" s="33" t="str">
        <f aca="false">A22</f>
        <v>Caterpillar / Bucyrus</v>
      </c>
      <c r="B33" s="39" t="n">
        <f aca="false">H22</f>
        <v>24</v>
      </c>
      <c r="C33" s="39" t="str">
        <f aca="false">'Precedent Transactions'!U13</f>
        <v>Core — both</v>
      </c>
      <c r="D33" s="86" t="n">
        <f aca="false">I22</f>
        <v>0.8</v>
      </c>
      <c r="E33" s="3"/>
      <c r="F33" s="3"/>
      <c r="G33" s="3"/>
      <c r="H33" s="3"/>
      <c r="I33" s="3"/>
    </row>
    <row r="34" customFormat="false" ht="14.4" hidden="false" customHeight="false" outlineLevel="0" collapsed="false">
      <c r="A34" s="3"/>
      <c r="B34" s="3"/>
      <c r="C34" s="3"/>
      <c r="D34" s="3"/>
      <c r="E34" s="3"/>
      <c r="F34" s="3"/>
      <c r="G34" s="3"/>
      <c r="H34" s="3"/>
      <c r="I34" s="3"/>
    </row>
    <row r="35" customFormat="false" ht="19.5" hidden="false" customHeight="true" outlineLevel="0" collapsed="false">
      <c r="A35" s="4" t="s">
        <v>528</v>
      </c>
      <c r="B35" s="4"/>
      <c r="C35" s="4"/>
      <c r="D35" s="4"/>
      <c r="E35" s="4"/>
      <c r="F35" s="4"/>
      <c r="G35" s="4"/>
      <c r="H35" s="4"/>
      <c r="I35" s="4"/>
    </row>
    <row r="36" customFormat="false" ht="24" hidden="false" customHeight="true" outlineLevel="0" collapsed="false">
      <c r="A36" s="32" t="s">
        <v>354</v>
      </c>
      <c r="B36" s="32" t="s">
        <v>529</v>
      </c>
      <c r="C36" s="32"/>
      <c r="D36" s="32"/>
      <c r="E36" s="32"/>
      <c r="F36" s="32"/>
      <c r="G36" s="32"/>
      <c r="H36" s="32"/>
      <c r="I36" s="32"/>
    </row>
    <row r="37" customFormat="false" ht="30" hidden="false" customHeight="true" outlineLevel="0" collapsed="false">
      <c r="A37" s="33" t="str">
        <f aca="false">'Precedent Transactions'!B18&amp;" / "&amp;'Precedent Transactions'!C18</f>
        <v>Honeywell / Sundyne</v>
      </c>
      <c r="B37" s="33" t="str">
        <f aca="false">'Precedent Transactions'!U18</f>
        <v>Supplemental — EV/EBITDA only; revenue not disclosed</v>
      </c>
      <c r="C37" s="33"/>
      <c r="D37" s="33"/>
      <c r="E37" s="33"/>
      <c r="F37" s="33"/>
      <c r="G37" s="33"/>
      <c r="H37" s="33"/>
      <c r="I37" s="33"/>
    </row>
    <row r="38" customFormat="false" ht="30" hidden="false" customHeight="true" outlineLevel="0" collapsed="false">
      <c r="A38" s="33" t="str">
        <f aca="false">'Precedent Transactions'!B19&amp;" / "&amp;'Precedent Transactions'!C19</f>
        <v>GE / Lufkin Industries</v>
      </c>
      <c r="B38" s="33" t="str">
        <f aca="false">'Precedent Transactions'!U19</f>
        <v>Supplemental — forward / mismatched period</v>
      </c>
      <c r="C38" s="33"/>
      <c r="D38" s="33"/>
      <c r="E38" s="33"/>
      <c r="F38" s="33"/>
      <c r="G38" s="33"/>
      <c r="H38" s="33"/>
      <c r="I38" s="33"/>
    </row>
    <row r="39" customFormat="false" ht="14.4" hidden="false" customHeight="false" outlineLevel="0" collapsed="false">
      <c r="A39" s="3"/>
      <c r="B39" s="3"/>
      <c r="C39" s="3"/>
      <c r="D39" s="3"/>
      <c r="E39" s="3"/>
      <c r="F39" s="3"/>
      <c r="G39" s="3"/>
      <c r="H39" s="3"/>
      <c r="I39" s="3"/>
    </row>
    <row r="40" customFormat="false" ht="14.4" hidden="false" customHeight="true" outlineLevel="0" collapsed="false">
      <c r="A40" s="43" t="s">
        <v>530</v>
      </c>
      <c r="B40" s="43"/>
      <c r="C40" s="43"/>
      <c r="D40" s="43"/>
      <c r="E40" s="43"/>
      <c r="F40" s="43"/>
      <c r="G40" s="43"/>
      <c r="H40" s="43"/>
      <c r="I40" s="43"/>
    </row>
    <row r="41" customFormat="false" ht="14.4" hidden="false" customHeight="false" outlineLevel="0" collapsed="false">
      <c r="A41" s="43"/>
      <c r="B41" s="43"/>
      <c r="C41" s="43"/>
      <c r="D41" s="43"/>
      <c r="E41" s="43"/>
      <c r="F41" s="43"/>
      <c r="G41" s="43"/>
      <c r="H41" s="43"/>
      <c r="I41" s="43"/>
    </row>
    <row r="42" customFormat="false" ht="14.4" hidden="false" customHeight="false" outlineLevel="0" collapsed="false">
      <c r="A42" s="43"/>
      <c r="B42" s="43"/>
      <c r="C42" s="43"/>
      <c r="D42" s="43"/>
      <c r="E42" s="43"/>
      <c r="F42" s="43"/>
      <c r="G42" s="43"/>
      <c r="H42" s="43"/>
      <c r="I42" s="43"/>
    </row>
  </sheetData>
  <mergeCells count="10">
    <mergeCell ref="A1:I1"/>
    <mergeCell ref="A2:I2"/>
    <mergeCell ref="A4:I4"/>
    <mergeCell ref="A13:I13"/>
    <mergeCell ref="A24:I24"/>
    <mergeCell ref="A35:I35"/>
    <mergeCell ref="B36:I36"/>
    <mergeCell ref="B37:I37"/>
    <mergeCell ref="B38:I38"/>
    <mergeCell ref="A40:I4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4" customHeight="false" zeroHeight="false" outlineLevelRow="0" outlineLevelCol="0"/>
  <cols>
    <col collapsed="false" customWidth="true" hidden="false" outlineLevel="0" max="1" min="1" style="0" width="12"/>
    <col collapsed="false" customWidth="true" hidden="false" outlineLevel="0" max="2" min="2" style="0" width="25"/>
    <col collapsed="false" customWidth="true" hidden="false" outlineLevel="0" max="3" min="3" style="0" width="30"/>
    <col collapsed="false" customWidth="true" hidden="false" outlineLevel="0" max="4" min="4" style="0" width="15"/>
    <col collapsed="false" customWidth="true" hidden="false" outlineLevel="0" max="5" min="5" style="0" width="70"/>
    <col collapsed="false" customWidth="true" hidden="false" outlineLevel="0" max="6" min="6" style="0" width="48"/>
    <col collapsed="false" customWidth="true" hidden="false" outlineLevel="0" max="8" min="7" style="0" width="15"/>
  </cols>
  <sheetData>
    <row r="1" customFormat="false" ht="25.5" hidden="false" customHeight="true" outlineLevel="0" collapsed="false">
      <c r="A1" s="1" t="s">
        <v>531</v>
      </c>
      <c r="B1" s="1"/>
      <c r="C1" s="1"/>
      <c r="D1" s="1"/>
      <c r="E1" s="1"/>
      <c r="F1" s="1"/>
      <c r="G1" s="1"/>
      <c r="H1" s="1"/>
    </row>
    <row r="2" customFormat="false" ht="18" hidden="false" customHeight="true" outlineLevel="0" collapsed="false">
      <c r="A2" s="2" t="s">
        <v>532</v>
      </c>
      <c r="B2" s="2"/>
      <c r="C2" s="2"/>
      <c r="D2" s="2"/>
      <c r="E2" s="2"/>
      <c r="F2" s="2"/>
      <c r="G2" s="2"/>
      <c r="H2" s="2"/>
    </row>
    <row r="3" customFormat="false" ht="15" hidden="false" customHeight="true" outlineLevel="0" collapsed="false">
      <c r="A3" s="33"/>
      <c r="B3" s="33"/>
      <c r="C3" s="33"/>
      <c r="D3" s="33"/>
      <c r="E3" s="33"/>
      <c r="F3" s="33"/>
      <c r="G3" s="33"/>
      <c r="H3" s="33"/>
    </row>
    <row r="4" customFormat="false" ht="19.5" hidden="false" customHeight="true" outlineLevel="0" collapsed="false">
      <c r="A4" s="44" t="s">
        <v>533</v>
      </c>
      <c r="B4" s="44"/>
      <c r="C4" s="44"/>
      <c r="D4" s="44"/>
      <c r="E4" s="44"/>
      <c r="F4" s="44"/>
      <c r="G4" s="44"/>
      <c r="H4" s="44"/>
    </row>
    <row r="5" customFormat="false" ht="30" hidden="false" customHeight="true" outlineLevel="0" collapsed="false">
      <c r="A5" s="45" t="s">
        <v>57</v>
      </c>
      <c r="B5" s="45" t="s">
        <v>534</v>
      </c>
      <c r="C5" s="45" t="s">
        <v>535</v>
      </c>
      <c r="D5" s="45" t="s">
        <v>536</v>
      </c>
      <c r="E5" s="45" t="s">
        <v>537</v>
      </c>
      <c r="F5" s="45" t="s">
        <v>538</v>
      </c>
      <c r="G5" s="45" t="s">
        <v>539</v>
      </c>
      <c r="H5" s="45" t="s">
        <v>111</v>
      </c>
    </row>
    <row r="6" customFormat="false" ht="32.8" hidden="false" customHeight="false" outlineLevel="0" collapsed="false">
      <c r="A6" s="48" t="s">
        <v>61</v>
      </c>
      <c r="B6" s="48" t="s">
        <v>416</v>
      </c>
      <c r="C6" s="48" t="s">
        <v>540</v>
      </c>
      <c r="D6" s="48" t="s">
        <v>541</v>
      </c>
      <c r="E6" s="193" t="s">
        <v>542</v>
      </c>
      <c r="F6" s="48" t="s">
        <v>543</v>
      </c>
      <c r="G6" s="48" t="s">
        <v>544</v>
      </c>
      <c r="H6" s="48" t="s">
        <v>545</v>
      </c>
    </row>
    <row r="7" customFormat="false" ht="23.25" hidden="false" customHeight="true" outlineLevel="0" collapsed="false">
      <c r="A7" s="52" t="s">
        <v>100</v>
      </c>
      <c r="B7" s="52" t="s">
        <v>416</v>
      </c>
      <c r="C7" s="52" t="s">
        <v>546</v>
      </c>
      <c r="D7" s="52" t="s">
        <v>541</v>
      </c>
      <c r="E7" s="194" t="s">
        <v>547</v>
      </c>
      <c r="F7" s="52" t="s">
        <v>548</v>
      </c>
      <c r="G7" s="52" t="s">
        <v>549</v>
      </c>
      <c r="H7" s="52" t="s">
        <v>545</v>
      </c>
    </row>
    <row r="8" customFormat="false" ht="21.75" hidden="false" customHeight="true" outlineLevel="0" collapsed="false">
      <c r="A8" s="52" t="s">
        <v>75</v>
      </c>
      <c r="B8" s="52" t="s">
        <v>301</v>
      </c>
      <c r="C8" s="52" t="s">
        <v>550</v>
      </c>
      <c r="D8" s="52" t="s">
        <v>551</v>
      </c>
      <c r="E8" s="194" t="s">
        <v>552</v>
      </c>
      <c r="F8" s="52" t="s">
        <v>553</v>
      </c>
      <c r="G8" s="52" t="s">
        <v>554</v>
      </c>
      <c r="H8" s="52" t="s">
        <v>545</v>
      </c>
    </row>
    <row r="9" customFormat="false" ht="23.85" hidden="false" customHeight="false" outlineLevel="0" collapsed="false">
      <c r="A9" s="52" t="s">
        <v>69</v>
      </c>
      <c r="B9" s="52" t="s">
        <v>416</v>
      </c>
      <c r="C9" s="52" t="s">
        <v>555</v>
      </c>
      <c r="D9" s="52" t="s">
        <v>556</v>
      </c>
      <c r="E9" s="194" t="s">
        <v>557</v>
      </c>
      <c r="F9" s="52" t="s">
        <v>558</v>
      </c>
      <c r="G9" s="52" t="s">
        <v>544</v>
      </c>
      <c r="H9" s="52" t="s">
        <v>545</v>
      </c>
    </row>
    <row r="10" customFormat="false" ht="22.35" hidden="false" customHeight="false" outlineLevel="0" collapsed="false">
      <c r="A10" s="52" t="s">
        <v>84</v>
      </c>
      <c r="B10" s="52" t="s">
        <v>301</v>
      </c>
      <c r="C10" s="52" t="s">
        <v>559</v>
      </c>
      <c r="D10" s="52" t="s">
        <v>551</v>
      </c>
      <c r="E10" s="194" t="s">
        <v>560</v>
      </c>
      <c r="F10" s="52" t="s">
        <v>561</v>
      </c>
      <c r="G10" s="52" t="s">
        <v>549</v>
      </c>
      <c r="H10" s="52" t="s">
        <v>545</v>
      </c>
    </row>
    <row r="11" customFormat="false" ht="22.35" hidden="false" customHeight="false" outlineLevel="0" collapsed="false">
      <c r="A11" s="52" t="s">
        <v>562</v>
      </c>
      <c r="B11" s="52" t="s">
        <v>301</v>
      </c>
      <c r="C11" s="52" t="s">
        <v>563</v>
      </c>
      <c r="D11" s="52" t="s">
        <v>564</v>
      </c>
      <c r="E11" s="194" t="s">
        <v>565</v>
      </c>
      <c r="F11" s="52" t="s">
        <v>566</v>
      </c>
      <c r="G11" s="52" t="s">
        <v>549</v>
      </c>
      <c r="H11" s="52" t="s">
        <v>545</v>
      </c>
    </row>
    <row r="12" customFormat="false" ht="15" hidden="false" customHeight="true" outlineLevel="0" collapsed="false">
      <c r="A12" s="52" t="s">
        <v>567</v>
      </c>
      <c r="B12" s="52" t="s">
        <v>301</v>
      </c>
      <c r="C12" s="52" t="s">
        <v>568</v>
      </c>
      <c r="D12" s="52" t="s">
        <v>569</v>
      </c>
      <c r="E12" s="194" t="s">
        <v>570</v>
      </c>
      <c r="F12" s="52" t="s">
        <v>571</v>
      </c>
      <c r="G12" s="52" t="s">
        <v>554</v>
      </c>
      <c r="H12" s="52" t="s">
        <v>545</v>
      </c>
    </row>
    <row r="13" customFormat="false" ht="15" hidden="false" customHeight="true" outlineLevel="0" collapsed="false">
      <c r="A13" s="52" t="s">
        <v>572</v>
      </c>
      <c r="B13" s="52" t="s">
        <v>301</v>
      </c>
      <c r="C13" s="52" t="s">
        <v>573</v>
      </c>
      <c r="D13" s="52" t="s">
        <v>574</v>
      </c>
      <c r="E13" s="194" t="s">
        <v>575</v>
      </c>
      <c r="F13" s="52" t="s">
        <v>576</v>
      </c>
      <c r="G13" s="52" t="s">
        <v>554</v>
      </c>
      <c r="H13" s="52" t="s">
        <v>545</v>
      </c>
    </row>
    <row r="14" customFormat="false" ht="23.85" hidden="false" customHeight="false" outlineLevel="0" collapsed="false">
      <c r="A14" s="52" t="s">
        <v>577</v>
      </c>
      <c r="B14" s="52" t="s">
        <v>363</v>
      </c>
      <c r="C14" s="52" t="s">
        <v>540</v>
      </c>
      <c r="D14" s="52" t="s">
        <v>578</v>
      </c>
      <c r="E14" s="194" t="s">
        <v>579</v>
      </c>
      <c r="F14" s="52" t="s">
        <v>580</v>
      </c>
      <c r="G14" s="52" t="s">
        <v>544</v>
      </c>
      <c r="H14" s="52" t="s">
        <v>545</v>
      </c>
    </row>
    <row r="15" customFormat="false" ht="23.85" hidden="false" customHeight="false" outlineLevel="0" collapsed="false">
      <c r="A15" s="52" t="s">
        <v>581</v>
      </c>
      <c r="B15" s="52" t="s">
        <v>363</v>
      </c>
      <c r="C15" s="52" t="s">
        <v>582</v>
      </c>
      <c r="D15" s="52" t="s">
        <v>583</v>
      </c>
      <c r="E15" s="194" t="s">
        <v>584</v>
      </c>
      <c r="F15" s="52" t="s">
        <v>585</v>
      </c>
      <c r="G15" s="52" t="s">
        <v>544</v>
      </c>
      <c r="H15" s="52" t="s">
        <v>545</v>
      </c>
    </row>
    <row r="16" customFormat="false" ht="23.85" hidden="false" customHeight="false" outlineLevel="0" collapsed="false">
      <c r="A16" s="52" t="s">
        <v>586</v>
      </c>
      <c r="B16" s="52" t="s">
        <v>365</v>
      </c>
      <c r="C16" s="52" t="s">
        <v>540</v>
      </c>
      <c r="D16" s="52" t="s">
        <v>587</v>
      </c>
      <c r="E16" s="194" t="s">
        <v>588</v>
      </c>
      <c r="F16" s="52" t="s">
        <v>589</v>
      </c>
      <c r="G16" s="52" t="s">
        <v>544</v>
      </c>
      <c r="H16" s="52" t="s">
        <v>545</v>
      </c>
    </row>
    <row r="17" customFormat="false" ht="15" hidden="false" customHeight="true" outlineLevel="0" collapsed="false">
      <c r="A17" s="52" t="s">
        <v>590</v>
      </c>
      <c r="B17" s="52" t="s">
        <v>365</v>
      </c>
      <c r="C17" s="52" t="s">
        <v>591</v>
      </c>
      <c r="D17" s="52" t="s">
        <v>564</v>
      </c>
      <c r="E17" s="194" t="s">
        <v>592</v>
      </c>
      <c r="F17" s="52" t="s">
        <v>593</v>
      </c>
      <c r="G17" s="52" t="s">
        <v>554</v>
      </c>
      <c r="H17" s="52" t="s">
        <v>545</v>
      </c>
    </row>
    <row r="18" customFormat="false" ht="22.35" hidden="false" customHeight="false" outlineLevel="0" collapsed="false">
      <c r="A18" s="52" t="s">
        <v>594</v>
      </c>
      <c r="B18" s="52" t="s">
        <v>279</v>
      </c>
      <c r="C18" s="52" t="s">
        <v>595</v>
      </c>
      <c r="D18" s="52" t="s">
        <v>564</v>
      </c>
      <c r="E18" s="194" t="s">
        <v>596</v>
      </c>
      <c r="F18" s="52" t="s">
        <v>597</v>
      </c>
      <c r="G18" s="52" t="s">
        <v>554</v>
      </c>
      <c r="H18" s="52" t="s">
        <v>545</v>
      </c>
    </row>
    <row r="19" customFormat="false" ht="23.25" hidden="false" customHeight="true" outlineLevel="0" collapsed="false">
      <c r="A19" s="52" t="s">
        <v>598</v>
      </c>
      <c r="B19" s="52" t="s">
        <v>367</v>
      </c>
      <c r="C19" s="52" t="s">
        <v>540</v>
      </c>
      <c r="D19" s="52" t="s">
        <v>599</v>
      </c>
      <c r="E19" s="194" t="s">
        <v>600</v>
      </c>
      <c r="F19" s="52" t="s">
        <v>601</v>
      </c>
      <c r="G19" s="52" t="s">
        <v>544</v>
      </c>
      <c r="H19" s="52" t="s">
        <v>545</v>
      </c>
    </row>
    <row r="20" customFormat="false" ht="21.75" hidden="false" customHeight="true" outlineLevel="0" collapsed="false">
      <c r="A20" s="52" t="s">
        <v>602</v>
      </c>
      <c r="B20" s="52" t="s">
        <v>287</v>
      </c>
      <c r="C20" s="52" t="s">
        <v>603</v>
      </c>
      <c r="D20" s="52" t="s">
        <v>569</v>
      </c>
      <c r="E20" s="194" t="s">
        <v>604</v>
      </c>
      <c r="F20" s="52" t="s">
        <v>605</v>
      </c>
      <c r="G20" s="52" t="s">
        <v>554</v>
      </c>
      <c r="H20" s="52" t="s">
        <v>545</v>
      </c>
    </row>
    <row r="21" customFormat="false" ht="15" hidden="false" customHeight="true" outlineLevel="0" collapsed="false">
      <c r="A21" s="52" t="s">
        <v>606</v>
      </c>
      <c r="B21" s="52" t="s">
        <v>286</v>
      </c>
      <c r="C21" s="52" t="s">
        <v>607</v>
      </c>
      <c r="D21" s="52" t="s">
        <v>564</v>
      </c>
      <c r="E21" s="194" t="s">
        <v>608</v>
      </c>
      <c r="F21" s="52" t="s">
        <v>609</v>
      </c>
      <c r="G21" s="52" t="s">
        <v>554</v>
      </c>
      <c r="H21" s="52" t="s">
        <v>545</v>
      </c>
    </row>
    <row r="22" customFormat="false" ht="23.25" hidden="false" customHeight="true" outlineLevel="0" collapsed="false">
      <c r="A22" s="52" t="s">
        <v>610</v>
      </c>
      <c r="B22" s="52" t="s">
        <v>369</v>
      </c>
      <c r="C22" s="52" t="s">
        <v>540</v>
      </c>
      <c r="D22" s="52" t="s">
        <v>611</v>
      </c>
      <c r="E22" s="194" t="s">
        <v>612</v>
      </c>
      <c r="F22" s="52" t="s">
        <v>613</v>
      </c>
      <c r="G22" s="52" t="s">
        <v>544</v>
      </c>
      <c r="H22" s="52" t="s">
        <v>545</v>
      </c>
    </row>
    <row r="23" customFormat="false" ht="15" hidden="false" customHeight="true" outlineLevel="0" collapsed="false">
      <c r="A23" s="52" t="s">
        <v>614</v>
      </c>
      <c r="B23" s="52" t="s">
        <v>294</v>
      </c>
      <c r="C23" s="52" t="s">
        <v>615</v>
      </c>
      <c r="D23" s="52" t="s">
        <v>616</v>
      </c>
      <c r="E23" s="194" t="s">
        <v>617</v>
      </c>
      <c r="F23" s="52" t="s">
        <v>618</v>
      </c>
      <c r="G23" s="52" t="s">
        <v>554</v>
      </c>
      <c r="H23" s="52" t="s">
        <v>545</v>
      </c>
    </row>
    <row r="24" customFormat="false" ht="15" hidden="false" customHeight="true" outlineLevel="0" collapsed="false">
      <c r="A24" s="52" t="s">
        <v>619</v>
      </c>
      <c r="B24" s="52" t="s">
        <v>294</v>
      </c>
      <c r="C24" s="52" t="s">
        <v>620</v>
      </c>
      <c r="D24" s="52" t="s">
        <v>616</v>
      </c>
      <c r="E24" s="194" t="s">
        <v>621</v>
      </c>
      <c r="F24" s="52" t="s">
        <v>622</v>
      </c>
      <c r="G24" s="52" t="s">
        <v>549</v>
      </c>
      <c r="H24" s="52" t="s">
        <v>545</v>
      </c>
    </row>
    <row r="25" customFormat="false" ht="15" hidden="false" customHeight="true" outlineLevel="0" collapsed="false">
      <c r="A25" s="52" t="s">
        <v>623</v>
      </c>
      <c r="B25" s="52" t="s">
        <v>371</v>
      </c>
      <c r="C25" s="52" t="s">
        <v>624</v>
      </c>
      <c r="D25" s="52" t="s">
        <v>616</v>
      </c>
      <c r="E25" s="194" t="s">
        <v>625</v>
      </c>
      <c r="F25" s="52" t="s">
        <v>626</v>
      </c>
      <c r="G25" s="52" t="s">
        <v>554</v>
      </c>
      <c r="H25" s="52" t="s">
        <v>545</v>
      </c>
    </row>
    <row r="26" customFormat="false" ht="15" hidden="false" customHeight="true" outlineLevel="0" collapsed="false">
      <c r="A26" s="52" t="s">
        <v>627</v>
      </c>
      <c r="B26" s="52" t="s">
        <v>371</v>
      </c>
      <c r="C26" s="52" t="s">
        <v>628</v>
      </c>
      <c r="D26" s="52" t="s">
        <v>629</v>
      </c>
      <c r="E26" s="194" t="s">
        <v>630</v>
      </c>
      <c r="F26" s="52" t="s">
        <v>631</v>
      </c>
      <c r="G26" s="52" t="s">
        <v>549</v>
      </c>
      <c r="H26" s="52" t="s">
        <v>545</v>
      </c>
    </row>
    <row r="27" customFormat="false" ht="15" hidden="false" customHeight="true" outlineLevel="0" collapsed="false">
      <c r="A27" s="52" t="s">
        <v>632</v>
      </c>
      <c r="B27" s="52" t="s">
        <v>301</v>
      </c>
      <c r="C27" s="52" t="s">
        <v>633</v>
      </c>
      <c r="D27" s="52" t="s">
        <v>569</v>
      </c>
      <c r="E27" s="194" t="s">
        <v>634</v>
      </c>
      <c r="F27" s="52" t="s">
        <v>635</v>
      </c>
      <c r="G27" s="52" t="s">
        <v>554</v>
      </c>
      <c r="H27" s="52" t="s">
        <v>545</v>
      </c>
    </row>
    <row r="28" customFormat="false" ht="23.85" hidden="false" customHeight="false" outlineLevel="0" collapsed="false">
      <c r="A28" s="52" t="s">
        <v>636</v>
      </c>
      <c r="B28" s="52" t="s">
        <v>373</v>
      </c>
      <c r="C28" s="52" t="s">
        <v>540</v>
      </c>
      <c r="D28" s="52" t="s">
        <v>637</v>
      </c>
      <c r="E28" s="194" t="s">
        <v>638</v>
      </c>
      <c r="F28" s="52" t="s">
        <v>639</v>
      </c>
      <c r="G28" s="52" t="s">
        <v>544</v>
      </c>
      <c r="H28" s="52" t="s">
        <v>545</v>
      </c>
    </row>
    <row r="29" customFormat="false" ht="15" hidden="false" customHeight="true" outlineLevel="0" collapsed="false">
      <c r="A29" s="52" t="s">
        <v>640</v>
      </c>
      <c r="B29" s="52" t="s">
        <v>312</v>
      </c>
      <c r="C29" s="52" t="s">
        <v>641</v>
      </c>
      <c r="D29" s="52" t="s">
        <v>642</v>
      </c>
      <c r="E29" s="194" t="s">
        <v>643</v>
      </c>
      <c r="F29" s="52" t="s">
        <v>605</v>
      </c>
      <c r="G29" s="52" t="s">
        <v>554</v>
      </c>
      <c r="H29" s="52" t="s">
        <v>545</v>
      </c>
    </row>
    <row r="30" customFormat="false" ht="15" hidden="false" customHeight="true" outlineLevel="0" collapsed="false">
      <c r="A30" s="52" t="s">
        <v>644</v>
      </c>
      <c r="B30" s="52" t="s">
        <v>312</v>
      </c>
      <c r="C30" s="52" t="s">
        <v>645</v>
      </c>
      <c r="D30" s="52" t="s">
        <v>646</v>
      </c>
      <c r="E30" s="194" t="s">
        <v>647</v>
      </c>
      <c r="F30" s="52" t="s">
        <v>648</v>
      </c>
      <c r="G30" s="52" t="s">
        <v>554</v>
      </c>
      <c r="H30" s="52" t="s">
        <v>545</v>
      </c>
    </row>
    <row r="31" customFormat="false" ht="21.75" hidden="false" customHeight="true" outlineLevel="0" collapsed="false">
      <c r="A31" s="52" t="s">
        <v>649</v>
      </c>
      <c r="B31" s="52" t="s">
        <v>375</v>
      </c>
      <c r="C31" s="52" t="s">
        <v>650</v>
      </c>
      <c r="D31" s="52" t="s">
        <v>651</v>
      </c>
      <c r="E31" s="194" t="s">
        <v>652</v>
      </c>
      <c r="F31" s="52" t="s">
        <v>653</v>
      </c>
      <c r="G31" s="52" t="s">
        <v>554</v>
      </c>
      <c r="H31" s="52" t="s">
        <v>545</v>
      </c>
    </row>
    <row r="32" customFormat="false" ht="15" hidden="false" customHeight="true" outlineLevel="0" collapsed="false">
      <c r="A32" s="52" t="s">
        <v>654</v>
      </c>
      <c r="B32" s="52" t="s">
        <v>319</v>
      </c>
      <c r="C32" s="52" t="s">
        <v>655</v>
      </c>
      <c r="D32" s="52" t="s">
        <v>651</v>
      </c>
      <c r="E32" s="194" t="s">
        <v>656</v>
      </c>
      <c r="F32" s="52" t="s">
        <v>657</v>
      </c>
      <c r="G32" s="52" t="s">
        <v>554</v>
      </c>
      <c r="H32" s="52" t="s">
        <v>545</v>
      </c>
    </row>
    <row r="33" customFormat="false" ht="23.25" hidden="false" customHeight="true" outlineLevel="0" collapsed="false">
      <c r="A33" s="52" t="s">
        <v>658</v>
      </c>
      <c r="B33" s="52" t="s">
        <v>375</v>
      </c>
      <c r="C33" s="52" t="s">
        <v>659</v>
      </c>
      <c r="D33" s="52" t="s">
        <v>660</v>
      </c>
      <c r="E33" s="194" t="s">
        <v>661</v>
      </c>
      <c r="F33" s="52" t="s">
        <v>662</v>
      </c>
      <c r="G33" s="52" t="s">
        <v>544</v>
      </c>
      <c r="H33" s="52" t="s">
        <v>545</v>
      </c>
    </row>
    <row r="34" customFormat="false" ht="15" hidden="false" customHeight="true" outlineLevel="0" collapsed="false">
      <c r="A34" s="52" t="s">
        <v>663</v>
      </c>
      <c r="B34" s="52" t="s">
        <v>377</v>
      </c>
      <c r="C34" s="52" t="s">
        <v>540</v>
      </c>
      <c r="D34" s="52" t="s">
        <v>664</v>
      </c>
      <c r="E34" s="194" t="s">
        <v>665</v>
      </c>
      <c r="F34" s="52" t="s">
        <v>666</v>
      </c>
      <c r="G34" s="52" t="s">
        <v>549</v>
      </c>
      <c r="H34" s="52" t="s">
        <v>545</v>
      </c>
    </row>
    <row r="35" customFormat="false" ht="15" hidden="false" customHeight="true" outlineLevel="0" collapsed="false">
      <c r="A35" s="52" t="s">
        <v>667</v>
      </c>
      <c r="B35" s="52" t="s">
        <v>328</v>
      </c>
      <c r="C35" s="52" t="s">
        <v>668</v>
      </c>
      <c r="D35" s="52" t="s">
        <v>669</v>
      </c>
      <c r="E35" s="194" t="s">
        <v>670</v>
      </c>
      <c r="F35" s="52" t="s">
        <v>671</v>
      </c>
      <c r="G35" s="52" t="s">
        <v>549</v>
      </c>
      <c r="H35" s="52" t="s">
        <v>545</v>
      </c>
    </row>
    <row r="36" customFormat="false" ht="23.85" hidden="false" customHeight="false" outlineLevel="0" collapsed="false">
      <c r="A36" s="52" t="s">
        <v>340</v>
      </c>
      <c r="B36" s="52" t="s">
        <v>672</v>
      </c>
      <c r="C36" s="52" t="s">
        <v>540</v>
      </c>
      <c r="D36" s="52" t="s">
        <v>673</v>
      </c>
      <c r="E36" s="194" t="s">
        <v>674</v>
      </c>
      <c r="F36" s="52" t="s">
        <v>675</v>
      </c>
      <c r="G36" s="52" t="s">
        <v>544</v>
      </c>
      <c r="H36" s="52" t="s">
        <v>545</v>
      </c>
    </row>
    <row r="37" customFormat="false" ht="23.25" hidden="false" customHeight="true" outlineLevel="0" collapsed="false">
      <c r="A37" s="52" t="s">
        <v>350</v>
      </c>
      <c r="B37" s="52" t="s">
        <v>676</v>
      </c>
      <c r="C37" s="52" t="s">
        <v>540</v>
      </c>
      <c r="D37" s="52" t="s">
        <v>677</v>
      </c>
      <c r="E37" s="194" t="s">
        <v>678</v>
      </c>
      <c r="F37" s="52" t="s">
        <v>679</v>
      </c>
      <c r="G37" s="52" t="s">
        <v>549</v>
      </c>
      <c r="H37" s="52" t="s">
        <v>545</v>
      </c>
    </row>
    <row r="38" customFormat="false" ht="38" hidden="false" customHeight="true" outlineLevel="0" collapsed="false">
      <c r="A38" s="195" t="s">
        <v>437</v>
      </c>
      <c r="B38" s="195" t="s">
        <v>301</v>
      </c>
      <c r="C38" s="195" t="s">
        <v>680</v>
      </c>
      <c r="D38" s="195" t="s">
        <v>681</v>
      </c>
      <c r="E38" s="195" t="s">
        <v>682</v>
      </c>
      <c r="F38" s="195" t="s">
        <v>683</v>
      </c>
      <c r="G38" s="195" t="s">
        <v>684</v>
      </c>
      <c r="H38" s="195" t="s">
        <v>545</v>
      </c>
    </row>
    <row r="39" customFormat="false" ht="15" hidden="false" customHeight="true" outlineLevel="0" collapsed="false">
      <c r="A39" s="33"/>
      <c r="B39" s="33"/>
      <c r="C39" s="33"/>
      <c r="D39" s="33"/>
      <c r="E39" s="33"/>
      <c r="F39" s="33"/>
      <c r="G39" s="33"/>
      <c r="H39" s="33"/>
    </row>
    <row r="40" customFormat="false" ht="19.5" hidden="false" customHeight="true" outlineLevel="0" collapsed="false">
      <c r="A40" s="44" t="s">
        <v>685</v>
      </c>
      <c r="B40" s="44"/>
      <c r="C40" s="44"/>
      <c r="D40" s="44"/>
      <c r="E40" s="44"/>
      <c r="F40" s="44"/>
      <c r="G40" s="33"/>
      <c r="H40" s="33"/>
    </row>
    <row r="41" customFormat="false" ht="25.5" hidden="false" customHeight="true" outlineLevel="0" collapsed="false">
      <c r="A41" s="45" t="s">
        <v>686</v>
      </c>
      <c r="B41" s="45" t="s">
        <v>422</v>
      </c>
      <c r="C41" s="45" t="s">
        <v>687</v>
      </c>
      <c r="D41" s="45" t="s">
        <v>688</v>
      </c>
      <c r="E41" s="45" t="s">
        <v>384</v>
      </c>
      <c r="F41" s="46" t="s">
        <v>689</v>
      </c>
      <c r="G41" s="33"/>
      <c r="H41" s="33"/>
    </row>
    <row r="42" customFormat="false" ht="34.5" hidden="false" customHeight="true" outlineLevel="0" collapsed="false">
      <c r="A42" s="48" t="s">
        <v>690</v>
      </c>
      <c r="B42" s="48" t="n">
        <f aca="false">COUNT('Precedent Transactions'!H6:H13)</f>
        <v>8</v>
      </c>
      <c r="C42" s="48"/>
      <c r="D42" s="48" t="n">
        <v>8</v>
      </c>
      <c r="E42" s="196" t="str">
        <f aca="false">IF(ABS(B42-D42)&lt;0.0001,"PASS","REVIEW")</f>
        <v>PASS</v>
      </c>
      <c r="F42" s="49" t="s">
        <v>691</v>
      </c>
      <c r="G42" s="33"/>
      <c r="H42" s="33"/>
    </row>
    <row r="43" customFormat="false" ht="23.25" hidden="false" customHeight="true" outlineLevel="0" collapsed="false">
      <c r="A43" s="52" t="s">
        <v>692</v>
      </c>
      <c r="B43" s="52" t="n">
        <f aca="false">COUNT('Precedent Transactions'!H6:H13)</f>
        <v>8</v>
      </c>
      <c r="C43" s="52"/>
      <c r="D43" s="52" t="n">
        <v>8</v>
      </c>
      <c r="E43" s="197" t="str">
        <f aca="false">IF(ABS(B43-D43)&lt;0.0001,"PASS","REVIEW")</f>
        <v>PASS</v>
      </c>
      <c r="F43" s="53" t="s">
        <v>693</v>
      </c>
      <c r="G43" s="33"/>
      <c r="H43" s="33"/>
    </row>
    <row r="44" customFormat="false" ht="23.25" hidden="false" customHeight="true" outlineLevel="0" collapsed="false">
      <c r="A44" s="52" t="s">
        <v>694</v>
      </c>
      <c r="B44" s="52" t="n">
        <f aca="false">COUNT('Precedent Transactions'!J6:J13)</f>
        <v>8</v>
      </c>
      <c r="C44" s="52"/>
      <c r="D44" s="52" t="n">
        <v>8</v>
      </c>
      <c r="E44" s="197" t="str">
        <f aca="false">IF(ABS(B44-D44)&lt;0.0001,"PASS","REVIEW")</f>
        <v>PASS</v>
      </c>
      <c r="F44" s="53" t="s">
        <v>695</v>
      </c>
      <c r="G44" s="33"/>
      <c r="H44" s="33"/>
    </row>
    <row r="45" customFormat="false" ht="23.25" hidden="false" customHeight="true" outlineLevel="0" collapsed="false">
      <c r="A45" s="52" t="s">
        <v>696</v>
      </c>
      <c r="B45" s="52" t="n">
        <f aca="false">COUNT('Precedent Transactions'!K6:K13)</f>
        <v>8</v>
      </c>
      <c r="C45" s="52"/>
      <c r="D45" s="52" t="n">
        <v>8</v>
      </c>
      <c r="E45" s="197" t="str">
        <f aca="false">IF(ABS(B45-D45)&lt;0.0001,"PASS","REVIEW")</f>
        <v>PASS</v>
      </c>
      <c r="F45" s="53" t="s">
        <v>697</v>
      </c>
      <c r="G45" s="33"/>
      <c r="H45" s="33"/>
    </row>
    <row r="46" customFormat="false" ht="34.5" hidden="false" customHeight="true" outlineLevel="0" collapsed="false">
      <c r="A46" s="52" t="s">
        <v>698</v>
      </c>
      <c r="B46" s="52" t="n">
        <f aca="false">COUNT('Precedent Transactions'!D6:D13)</f>
        <v>8</v>
      </c>
      <c r="C46" s="52"/>
      <c r="D46" s="52" t="n">
        <v>8</v>
      </c>
      <c r="E46" s="197" t="str">
        <f aca="false">IF(ABS(B46-D46)&lt;0.0001,"PASS","REVIEW")</f>
        <v>PASS</v>
      </c>
      <c r="F46" s="53" t="s">
        <v>699</v>
      </c>
      <c r="G46" s="33"/>
      <c r="H46" s="33"/>
    </row>
    <row r="47" customFormat="false" ht="23.25" hidden="false" customHeight="true" outlineLevel="0" collapsed="false">
      <c r="A47" s="52" t="s">
        <v>700</v>
      </c>
      <c r="B47" s="52" t="n">
        <f aca="false">COUNTA('Precedent Transactions'!I6:I13)</f>
        <v>8</v>
      </c>
      <c r="C47" s="52"/>
      <c r="D47" s="52" t="n">
        <v>8</v>
      </c>
      <c r="E47" s="197" t="str">
        <f aca="false">IF(ABS(B47-D47)&lt;0.0001,"PASS","REVIEW")</f>
        <v>PASS</v>
      </c>
      <c r="F47" s="53" t="s">
        <v>701</v>
      </c>
      <c r="G47" s="33"/>
      <c r="H47" s="33"/>
    </row>
    <row r="48" customFormat="false" ht="23.25" hidden="false" customHeight="true" outlineLevel="0" collapsed="false">
      <c r="A48" s="52" t="s">
        <v>702</v>
      </c>
      <c r="B48" s="52" t="n">
        <f aca="false">COUNTIF('Precedent Transactions'!V6:V13,"&gt;1")</f>
        <v>0</v>
      </c>
      <c r="C48" s="52"/>
      <c r="D48" s="52" t="n">
        <v>0</v>
      </c>
      <c r="E48" s="197" t="str">
        <f aca="false">IF(ABS(B48-D48)&lt;0.0001,"PASS","REVIEW")</f>
        <v>PASS</v>
      </c>
      <c r="F48" s="53" t="s">
        <v>703</v>
      </c>
      <c r="G48" s="33"/>
      <c r="H48" s="33"/>
    </row>
    <row r="49" customFormat="false" ht="23.25" hidden="false" customHeight="true" outlineLevel="0" collapsed="false">
      <c r="A49" s="52" t="s">
        <v>704</v>
      </c>
      <c r="B49" s="52" t="n">
        <f aca="false">COUNTIF('Precedent Transactions'!W6:W13,"PASS")</f>
        <v>8</v>
      </c>
      <c r="C49" s="52"/>
      <c r="D49" s="52" t="n">
        <v>8</v>
      </c>
      <c r="E49" s="197" t="str">
        <f aca="false">IF(ABS(B49-D49)&lt;0.0001,"PASS","REVIEW")</f>
        <v>PASS</v>
      </c>
      <c r="F49" s="53" t="s">
        <v>705</v>
      </c>
      <c r="G49" s="33"/>
      <c r="H49" s="33"/>
    </row>
    <row r="50" customFormat="false" ht="23.25" hidden="false" customHeight="true" outlineLevel="0" collapsed="false">
      <c r="A50" s="52" t="s">
        <v>706</v>
      </c>
      <c r="B50" s="52" t="n">
        <f aca="false">COUNTA('Precedent Transactions'!X6:X13)</f>
        <v>8</v>
      </c>
      <c r="C50" s="52"/>
      <c r="D50" s="52" t="n">
        <v>8</v>
      </c>
      <c r="E50" s="197" t="str">
        <f aca="false">IF(ABS(B50-D50)&lt;0.0001,"PASS","REVIEW")</f>
        <v>PASS</v>
      </c>
      <c r="F50" s="53" t="s">
        <v>707</v>
      </c>
      <c r="G50" s="33"/>
      <c r="H50" s="33"/>
    </row>
    <row r="51" customFormat="false" ht="23.25" hidden="false" customHeight="true" outlineLevel="0" collapsed="false">
      <c r="A51" s="52" t="s">
        <v>708</v>
      </c>
      <c r="B51" s="52" t="n">
        <f aca="false">COUNTIF('Precedent Transactions'!Y6:Y13,"PASS")</f>
        <v>8</v>
      </c>
      <c r="C51" s="52"/>
      <c r="D51" s="52" t="n">
        <v>8</v>
      </c>
      <c r="E51" s="197" t="str">
        <f aca="false">IF(ABS(B51-D51)&lt;0.0001,"PASS","REVIEW")</f>
        <v>PASS</v>
      </c>
      <c r="F51" s="53" t="s">
        <v>709</v>
      </c>
      <c r="G51" s="33"/>
      <c r="H51" s="33"/>
    </row>
    <row r="52" customFormat="false" ht="34.5" hidden="false" customHeight="true" outlineLevel="0" collapsed="false">
      <c r="A52" s="52" t="s">
        <v>710</v>
      </c>
      <c r="B52" s="52" t="n">
        <f aca="false">COUNT('Transaction Multiples'!B18:B23)</f>
        <v>6</v>
      </c>
      <c r="C52" s="52"/>
      <c r="D52" s="52" t="n">
        <v>6</v>
      </c>
      <c r="E52" s="197" t="str">
        <f aca="false">IF(ABS(B52-D52)&lt;0.0001,"PASS","REVIEW")</f>
        <v>PASS</v>
      </c>
      <c r="F52" s="53" t="s">
        <v>711</v>
      </c>
      <c r="G52" s="33"/>
      <c r="H52" s="33"/>
    </row>
    <row r="53" customFormat="false" ht="34.5" hidden="false" customHeight="true" outlineLevel="0" collapsed="false">
      <c r="A53" s="52" t="s">
        <v>712</v>
      </c>
      <c r="B53" s="52" t="n">
        <f aca="false">ROUND('PTA Valuation'!G18-'PTA Valuation'!H18-'PTA Valuation'!$B$8,1)</f>
        <v>0</v>
      </c>
      <c r="C53" s="52"/>
      <c r="D53" s="52" t="n">
        <v>0</v>
      </c>
      <c r="E53" s="197" t="str">
        <f aca="false">IF(ABS(B53-D53)&lt;0.0001,"PASS","REVIEW")</f>
        <v>PASS</v>
      </c>
      <c r="F53" s="53" t="s">
        <v>713</v>
      </c>
      <c r="G53" s="33"/>
      <c r="H53" s="33"/>
    </row>
    <row r="54" customFormat="false" ht="23.25" hidden="false" customHeight="true" outlineLevel="0" collapsed="false">
      <c r="A54" s="52" t="s">
        <v>714</v>
      </c>
      <c r="B54" s="52" t="n">
        <f aca="false">ROUND('PTA Valuation'!H18/'PTA Valuation'!$B$9-'PTA Valuation'!I18,4)</f>
        <v>0</v>
      </c>
      <c r="C54" s="52"/>
      <c r="D54" s="52" t="n">
        <v>0</v>
      </c>
      <c r="E54" s="197" t="str">
        <f aca="false">IF(ABS(B54-D54)&lt;0.0001,"PASS","REVIEW")</f>
        <v>PASS</v>
      </c>
      <c r="F54" s="53" t="s">
        <v>715</v>
      </c>
      <c r="G54" s="33"/>
      <c r="H54" s="33"/>
    </row>
    <row r="55" customFormat="false" ht="34.5" hidden="false" customHeight="true" outlineLevel="0" collapsed="false">
      <c r="A55" s="52" t="s">
        <v>716</v>
      </c>
      <c r="B55" s="52" t="n">
        <f aca="false">ROUND('PTA Valuation'!B40-'PTA Valuation'!I34,4)</f>
        <v>0</v>
      </c>
      <c r="C55" s="52"/>
      <c r="D55" s="52" t="n">
        <v>0</v>
      </c>
      <c r="E55" s="197" t="str">
        <f aca="false">IF(ABS(B55-D55)&lt;0.0001,"PASS","REVIEW")</f>
        <v>PASS</v>
      </c>
      <c r="F55" s="53" t="s">
        <v>717</v>
      </c>
      <c r="G55" s="33"/>
      <c r="H55" s="33"/>
    </row>
    <row r="56" customFormat="false" ht="34.5" hidden="false" customHeight="true" outlineLevel="0" collapsed="false">
      <c r="A56" s="52" t="s">
        <v>718</v>
      </c>
      <c r="B56" s="52" t="n">
        <f aca="false">ABS('Target Financials'!B29-'Transaction Overview'!B10)+ABS('Target Financials'!B28-'Transaction Overview'!B11)</f>
        <v>0</v>
      </c>
      <c r="C56" s="52"/>
      <c r="D56" s="52" t="n">
        <v>0</v>
      </c>
      <c r="E56" s="197" t="str">
        <f aca="false">IF(ABS(B56-D56)&lt;0.0001,"PASS","REVIEW")</f>
        <v>PASS</v>
      </c>
      <c r="F56" s="53" t="s">
        <v>719</v>
      </c>
      <c r="G56" s="33"/>
      <c r="H56" s="33"/>
    </row>
    <row r="57" customFormat="false" ht="27" hidden="false" customHeight="true" outlineLevel="0" collapsed="false">
      <c r="A57" s="48" t="s">
        <v>720</v>
      </c>
      <c r="B57" s="48" t="n">
        <f aca="false">ABS('Football Field'!C6-'PTA Valuation'!I18)+ABS('Football Field'!C7-'PTA Valuation'!I26)+ABS('Football Field'!B14-'PTA Valuation'!B40)</f>
        <v>0</v>
      </c>
      <c r="C57" s="48"/>
      <c r="D57" s="48" t="n">
        <v>0</v>
      </c>
      <c r="E57" s="196" t="str">
        <f aca="false">IF(ABS(B57-D57)&lt;0.0001,"PASS","REVIEW")</f>
        <v>PASS</v>
      </c>
      <c r="F57" s="48" t="s">
        <v>721</v>
      </c>
      <c r="G57" s="33"/>
      <c r="H57" s="33"/>
    </row>
    <row r="58" customFormat="false" ht="27" hidden="false" customHeight="true" outlineLevel="0" collapsed="false">
      <c r="A58" s="52" t="s">
        <v>722</v>
      </c>
      <c r="B58" s="52" t="n">
        <f aca="false">ABS('Sensitivity Analysis'!D35-'PTA Valuation'!B40)</f>
        <v>0</v>
      </c>
      <c r="C58" s="52"/>
      <c r="D58" s="52" t="n">
        <v>0</v>
      </c>
      <c r="E58" s="197" t="str">
        <f aca="false">IF(ABS(B58-D58)&lt;0.0001,"PASS","REVIEW")</f>
        <v>PASS</v>
      </c>
      <c r="F58" s="52" t="s">
        <v>723</v>
      </c>
      <c r="G58" s="33"/>
      <c r="H58" s="33"/>
    </row>
    <row r="59" customFormat="false" ht="27" hidden="false" customHeight="true" outlineLevel="0" collapsed="false">
      <c r="A59" s="14" t="s">
        <v>724</v>
      </c>
      <c r="B59" s="198" t="n">
        <f aca="false">ABS(Dashboard!D13-'PTA Valuation'!B40)</f>
        <v>0</v>
      </c>
      <c r="C59" s="14"/>
      <c r="D59" s="52" t="n">
        <v>0</v>
      </c>
      <c r="E59" s="197" t="str">
        <f aca="false">IF(ABS(B59-D59)&lt;0.0001,"PASS","REVIEW")</f>
        <v>PASS</v>
      </c>
      <c r="F59" s="52" t="s">
        <v>725</v>
      </c>
      <c r="G59" s="33"/>
      <c r="H59" s="33"/>
    </row>
    <row r="60" customFormat="false" ht="27" hidden="false" customHeight="true" outlineLevel="0" collapsed="false">
      <c r="A60" s="14" t="s">
        <v>726</v>
      </c>
      <c r="B60" s="198" t="n">
        <f aca="false">COUNTIF(A1:H62,"#REF!")+COUNTIF(A1:H62,"#DIV/0!")+COUNTIF(A1:H62,"#VALUE!")+COUNTIF(A1:H62,"#NAME?")+COUNTIF(A1:H62,"#N/A")</f>
        <v>0</v>
      </c>
      <c r="C60" s="14"/>
      <c r="D60" s="52" t="n">
        <v>0</v>
      </c>
      <c r="E60" s="197" t="str">
        <f aca="false">IF(ABS(B60-D60)&lt;0.0001,"PASS","REVIEW")</f>
        <v>PASS</v>
      </c>
      <c r="F60" s="52" t="s">
        <v>727</v>
      </c>
      <c r="G60" s="33"/>
      <c r="H60" s="33"/>
    </row>
    <row r="61" customFormat="false" ht="27" hidden="false" customHeight="true" outlineLevel="0" collapsed="false">
      <c r="A61" s="14" t="s">
        <v>728</v>
      </c>
      <c r="B61" s="198" t="n">
        <f aca="false">ABS('Transaction Overview'!B12-('Target Financials'!B29/'Target Financials'!B28-1))</f>
        <v>0</v>
      </c>
      <c r="C61" s="14"/>
      <c r="D61" s="14" t="n">
        <v>0</v>
      </c>
      <c r="E61" s="199" t="str">
        <f aca="false">IF(ABS(B61-D61)&lt;0.0001,"PASS","REVIEW")</f>
        <v>PASS</v>
      </c>
      <c r="F61" s="14" t="s">
        <v>729</v>
      </c>
      <c r="G61" s="3"/>
      <c r="H61" s="3"/>
    </row>
    <row r="62" customFormat="false" ht="14.4" hidden="false" customHeight="false" outlineLevel="0" collapsed="false">
      <c r="A62" s="3" t="s">
        <v>730</v>
      </c>
      <c r="B62" s="200" t="n">
        <f aca="false">ABS('Target Capitalization'!B34-'Target Capitalization'!B33/'Transaction Overview'!B10)</f>
        <v>7.105427357601E-015</v>
      </c>
      <c r="C62" s="200"/>
      <c r="D62" s="200" t="n">
        <v>0</v>
      </c>
      <c r="E62" s="201" t="str">
        <f aca="false">IF(ABS(B62-D62)&lt;0.0001,"PASS","REVIEW")</f>
        <v>PASS</v>
      </c>
      <c r="F62" s="3" t="s">
        <v>731</v>
      </c>
      <c r="G62" s="3"/>
      <c r="H62" s="3"/>
    </row>
    <row r="63" customFormat="false" ht="14.4" hidden="false" customHeight="false" outlineLevel="0" collapsed="false">
      <c r="A63" s="3"/>
      <c r="B63" s="3"/>
      <c r="C63" s="3"/>
      <c r="D63" s="3"/>
      <c r="E63" s="3"/>
      <c r="F63" s="3"/>
      <c r="G63" s="3"/>
      <c r="H63" s="3"/>
    </row>
    <row r="64" customFormat="false" ht="22.35" hidden="false" customHeight="false" outlineLevel="0" collapsed="false">
      <c r="A64" s="20" t="s">
        <v>732</v>
      </c>
      <c r="B64" s="20" t="s">
        <v>733</v>
      </c>
      <c r="C64" s="20" t="s">
        <v>464</v>
      </c>
      <c r="D64" s="3"/>
      <c r="E64" s="3"/>
      <c r="F64" s="3"/>
      <c r="G64" s="3"/>
      <c r="H64" s="3"/>
    </row>
    <row r="65" customFormat="false" ht="14.4" hidden="false" customHeight="false" outlineLevel="0" collapsed="false">
      <c r="A65" s="202" t="s">
        <v>734</v>
      </c>
      <c r="B65" s="203" t="str">
        <f aca="false">IF(COUNTIF(E42:E62,"REVIEW")=0,"PASS","REVIEW")</f>
        <v>PASS</v>
      </c>
      <c r="C65" s="202" t="s">
        <v>735</v>
      </c>
      <c r="D65" s="3"/>
      <c r="E65" s="3"/>
      <c r="F65" s="3"/>
      <c r="G65" s="3"/>
      <c r="H65" s="3"/>
    </row>
  </sheetData>
  <mergeCells count="4">
    <mergeCell ref="A1:H1"/>
    <mergeCell ref="A2:H2"/>
    <mergeCell ref="A4:H4"/>
    <mergeCell ref="A40:F40"/>
  </mergeCells>
  <conditionalFormatting sqref="E42:E56">
    <cfRule type="expression" priority="2" aboveAverage="0" equalAverage="0" bottom="0" percent="0" rank="0" text="" dxfId="0">
      <formula>E42="PASS"</formula>
    </cfRule>
    <cfRule type="expression" priority="3" aboveAverage="0" equalAverage="0" bottom="0" percent="0" rank="0" text="" dxfId="1">
      <formula>E42="REVIEW"</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